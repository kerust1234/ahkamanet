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comments2.xml" ContentType="application/vnd.openxmlformats-officedocument.spreadsheetml.comments+xml"/>
  <Override PartName="/xl/drawings/drawing3.xml" ContentType="application/vnd.openxmlformats-officedocument.drawing+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drawings/drawing4.xml" ContentType="application/vnd.openxmlformats-officedocument.drawing+xml"/>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omments8.xml" ContentType="application/vnd.openxmlformats-officedocument.spreadsheetml.comments+xml"/>
  <Override PartName="/xl/comments9.xml" ContentType="application/vnd.openxmlformats-officedocument.spreadsheetml.comments+xml"/>
  <Override PartName="/xl/drawings/drawing5.xml" ContentType="application/vnd.openxmlformats-officedocument.drawing+xml"/>
  <Override PartName="/xl/activeX/activeX5.xml" ContentType="application/vnd.ms-office.activeX+xml"/>
  <Override PartName="/xl/activeX/activeX5.bin" ContentType="application/vnd.ms-office.activeX"/>
  <Override PartName="/xl/comments10.xml" ContentType="application/vnd.openxmlformats-officedocument.spreadsheetml.comments+xml"/>
  <Override PartName="/xl/drawings/drawing6.xml" ContentType="application/vnd.openxmlformats-officedocument.drawing+xml"/>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comments11.xml" ContentType="application/vnd.openxmlformats-officedocument.spreadsheetml.comments+xml"/>
  <Override PartName="/xl/drawings/drawing7.xml" ContentType="application/vnd.openxmlformats-officedocument.drawing+xml"/>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comments12.xml" ContentType="application/vnd.openxmlformats-officedocument.spreadsheetml.comments+xml"/>
  <Override PartName="/xl/drawings/drawing8.xml" ContentType="application/vnd.openxmlformats-officedocument.drawing+xml"/>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comments13.xml" ContentType="application/vnd.openxmlformats-officedocument.spreadsheetml.comments+xml"/>
  <Override PartName="/xl/drawings/drawing9.xml" ContentType="application/vnd.openxmlformats-officedocument.drawing+xml"/>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comments14.xml" ContentType="application/vnd.openxmlformats-officedocument.spreadsheetml.comments+xml"/>
  <Override PartName="/xl/drawings/drawing10.xml" ContentType="application/vnd.openxmlformats-officedocument.drawing+xml"/>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comments15.xml" ContentType="application/vnd.openxmlformats-officedocument.spreadsheetml.comments+xml"/>
  <Override PartName="/xl/drawings/drawing11.xml" ContentType="application/vnd.openxmlformats-officedocument.drawing+xml"/>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comments16.xml" ContentType="application/vnd.openxmlformats-officedocument.spreadsheetml.comments+xml"/>
  <Override PartName="/xl/drawings/drawing12.xml" ContentType="application/vnd.openxmlformats-officedocument.drawing+xml"/>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comments17.xml" ContentType="application/vnd.openxmlformats-officedocument.spreadsheetml.comments+xml"/>
  <Override PartName="/xl/drawings/drawing13.xml" ContentType="application/vnd.openxmlformats-officedocument.drawing+xml"/>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comments18.xml" ContentType="application/vnd.openxmlformats-officedocument.spreadsheetml.comments+xml"/>
  <Override PartName="/xl/drawings/drawing14.xml" ContentType="application/vnd.openxmlformats-officedocument.drawing+xml"/>
  <Override PartName="/xl/activeX/activeX22.xml" ContentType="application/vnd.ms-office.activeX+xml"/>
  <Override PartName="/xl/activeX/activeX22.bin" ContentType="application/vnd.ms-office.activeX"/>
  <Override PartName="/xl/drawings/drawing15.xml" ContentType="application/vnd.openxmlformats-officedocument.drawing+xml"/>
  <Override PartName="/xl/drawings/drawing16.xml" ContentType="application/vnd.openxmlformats-officedocument.drawing+xml"/>
  <Override PartName="/xl/activeX/activeX23.xml" ContentType="application/vnd.ms-office.activeX+xml"/>
  <Override PartName="/xl/activeX/activeX23.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6925" codeName="{1563B04E-AB91-75FE-B8BC-B18F01832D57}"/>
  <workbookPr codeName="ThisWorkbook" defaultThemeVersion="124226"/>
  <mc:AlternateContent xmlns:mc="http://schemas.openxmlformats.org/markup-compatibility/2006">
    <mc:Choice Requires="x15">
      <x15ac:absPath xmlns:x15ac="http://schemas.microsoft.com/office/spreadsheetml/2010/11/ac" url="C:\Users\CN085258\git\ahkamanet\requirement\"/>
    </mc:Choice>
  </mc:AlternateContent>
  <bookViews>
    <workbookView xWindow="0" yWindow="810" windowWidth="9615" windowHeight="8700" tabRatio="781" firstSheet="1" activeTab="4"/>
  </bookViews>
  <sheets>
    <sheet name="版本冻结公告-复制模板 (backup)" sheetId="42" state="hidden" r:id="rId1"/>
    <sheet name="版本冻结公告-复制模板" sheetId="39" r:id="rId2"/>
    <sheet name="版本控制" sheetId="4" r:id="rId3"/>
    <sheet name="例行版本计划" sheetId="14" r:id="rId4"/>
    <sheet name="ISR清单" sheetId="21" r:id="rId5"/>
    <sheet name="缺陷及问题清单" sheetId="22" r:id="rId6"/>
    <sheet name="本月退回ISR清单" sheetId="23" state="hidden" r:id="rId7"/>
    <sheet name="待处理ISR清单" sheetId="24" state="hidden" r:id="rId8"/>
    <sheet name="XX版本冻结公告" sheetId="20" state="hidden" r:id="rId9"/>
    <sheet name="历史信息" sheetId="19" state="hidden" r:id="rId10"/>
    <sheet name="版本冻结公告-v6.15.0" sheetId="43" r:id="rId11"/>
    <sheet name="v6.15.0版本冻结公告" sheetId="38" r:id="rId12"/>
    <sheet name="v6.13.0版本冻结公告" sheetId="37" r:id="rId13"/>
    <sheet name="v6.12.1版本冻结公告" sheetId="36" r:id="rId14"/>
    <sheet name="v1.23.0版本冻结公告" sheetId="35" r:id="rId15"/>
    <sheet name="v1.22.0版本冻结公告" sheetId="34" r:id="rId16"/>
    <sheet name="v1.19.0版本冻结公告" sheetId="32" r:id="rId17"/>
    <sheet name="v1.18.0版本冻结公告" sheetId="31" r:id="rId18"/>
    <sheet name="v1.17.0版本冻结公告" sheetId="16" r:id="rId19"/>
    <sheet name="XXX版本冻结公告（变更）" sheetId="28" state="hidden" r:id="rId20"/>
    <sheet name="邮件规范及操作指引" sheetId="27" state="hidden" r:id="rId21"/>
    <sheet name="textcontent" sheetId="40" r:id="rId22"/>
    <sheet name="XX版本冻结公告(变更)" sheetId="29" state="hidden" r:id="rId23"/>
  </sheets>
  <functionGroups builtInGroupCount="18"/>
  <definedNames>
    <definedName name="版本名称">例行版本计划!$A$11:$A$71</definedName>
  </definedNames>
  <calcPr calcId="171027" concurrentCalc="0"/>
</workbook>
</file>

<file path=xl/calcChain.xml><?xml version="1.0" encoding="utf-8"?>
<calcChain xmlns="http://schemas.openxmlformats.org/spreadsheetml/2006/main">
  <c r="C9" i="43" l="1"/>
  <c r="C8" i="43"/>
  <c r="C7" i="43"/>
  <c r="C6" i="43"/>
  <c r="C9" i="42"/>
  <c r="C8" i="42"/>
  <c r="C7" i="42"/>
  <c r="C6" i="42"/>
  <c r="C9" i="39"/>
  <c r="C8" i="39"/>
  <c r="C7" i="39"/>
  <c r="C6" i="39"/>
  <c r="C8" i="38"/>
  <c r="C7" i="38"/>
  <c r="C6" i="38"/>
  <c r="C8" i="37"/>
  <c r="C7" i="37"/>
  <c r="C6" i="37"/>
  <c r="C8" i="36"/>
  <c r="C7" i="36"/>
  <c r="C6" i="36"/>
  <c r="C8" i="35"/>
  <c r="C7" i="35"/>
  <c r="C6" i="35"/>
  <c r="C8" i="34"/>
  <c r="C7" i="34"/>
  <c r="C6" i="34"/>
  <c r="C8" i="32"/>
  <c r="C7" i="32"/>
  <c r="C6" i="32"/>
  <c r="C8" i="31"/>
  <c r="C7" i="31"/>
  <c r="C6" i="31"/>
  <c r="C8" i="20"/>
  <c r="C7" i="20"/>
  <c r="C6" i="20"/>
  <c r="C8" i="16"/>
  <c r="C7" i="16"/>
  <c r="C6" i="16"/>
  <c r="C7" i="24"/>
  <c r="C6" i="24"/>
  <c r="C5" i="24"/>
  <c r="C5" i="23"/>
  <c r="C9" i="20"/>
</calcChain>
</file>

<file path=xl/comments1.xml><?xml version="1.0" encoding="utf-8"?>
<comments xmlns="http://schemas.openxmlformats.org/spreadsheetml/2006/main">
  <authors>
    <author>amway</author>
    <author>Amway</author>
  </authors>
  <commentList>
    <comment ref="B6" authorId="0" shapeId="0">
      <text>
        <r>
          <rPr>
            <b/>
            <sz val="9"/>
            <color indexed="81"/>
            <rFont val="宋体"/>
            <family val="3"/>
            <charset val="134"/>
          </rPr>
          <t>amway:</t>
        </r>
        <r>
          <rPr>
            <sz val="9"/>
            <color indexed="81"/>
            <rFont val="宋体"/>
            <family val="3"/>
            <charset val="134"/>
          </rPr>
          <t xml:space="preserve">
注:
自动统计“ISR清单”中需求状态为“待分析”的ISR数量</t>
        </r>
      </text>
    </comment>
    <comment ref="B7" authorId="0" shapeId="0">
      <text>
        <r>
          <rPr>
            <b/>
            <sz val="9"/>
            <color indexed="81"/>
            <rFont val="宋体"/>
            <family val="3"/>
            <charset val="134"/>
          </rPr>
          <t>amway:</t>
        </r>
        <r>
          <rPr>
            <sz val="9"/>
            <color indexed="81"/>
            <rFont val="宋体"/>
            <family val="3"/>
            <charset val="134"/>
          </rPr>
          <t xml:space="preserve">
注:
自动统计“ISR清单”中需求状态为“待排期”的ISR数量</t>
        </r>
      </text>
    </comment>
    <comment ref="B8" authorId="0" shapeId="0">
      <text>
        <r>
          <rPr>
            <b/>
            <sz val="9"/>
            <color indexed="81"/>
            <rFont val="宋体"/>
            <family val="3"/>
            <charset val="134"/>
          </rPr>
          <t>amway:</t>
        </r>
        <r>
          <rPr>
            <sz val="9"/>
            <color indexed="81"/>
            <rFont val="宋体"/>
            <family val="3"/>
            <charset val="134"/>
          </rPr>
          <t xml:space="preserve">
注:
自动统计“ISR清单”中需求状态为“已挂起”的ISR数量</t>
        </r>
      </text>
    </comment>
    <comment ref="B9" authorId="0" shapeId="0">
      <text>
        <r>
          <rPr>
            <b/>
            <sz val="9"/>
            <color indexed="81"/>
            <rFont val="宋体"/>
            <family val="3"/>
            <charset val="134"/>
          </rPr>
          <t>amway:</t>
        </r>
        <r>
          <rPr>
            <sz val="9"/>
            <color indexed="81"/>
            <rFont val="宋体"/>
            <family val="3"/>
            <charset val="134"/>
          </rPr>
          <t xml:space="preserve">
从“退回ISR清单”sheet手动获取</t>
        </r>
      </text>
    </comment>
    <comment ref="B12" authorId="1" shapeId="0">
      <text>
        <r>
          <rPr>
            <b/>
            <sz val="9"/>
            <color indexed="81"/>
            <rFont val="宋体"/>
            <family val="3"/>
            <charset val="134"/>
          </rPr>
          <t>Amway:</t>
        </r>
        <r>
          <rPr>
            <sz val="9"/>
            <color indexed="81"/>
            <rFont val="宋体"/>
            <family val="3"/>
            <charset val="134"/>
          </rPr>
          <t xml:space="preserve">
版本详细工作计划见8th Manager</t>
        </r>
      </text>
    </comment>
  </commentList>
</comments>
</file>

<file path=xl/comments2.xml><?xml version="1.0" encoding="utf-8"?>
<comments xmlns="http://schemas.openxmlformats.org/spreadsheetml/2006/main">
  <authors>
    <author>amway</author>
    <author>Amway</author>
  </authors>
  <commentList>
    <comment ref="B6" authorId="0" shapeId="0">
      <text>
        <r>
          <rPr>
            <b/>
            <sz val="9"/>
            <color indexed="81"/>
            <rFont val="宋体"/>
            <family val="3"/>
            <charset val="134"/>
          </rPr>
          <t>amway:</t>
        </r>
        <r>
          <rPr>
            <sz val="9"/>
            <color indexed="81"/>
            <rFont val="宋体"/>
            <family val="3"/>
            <charset val="134"/>
          </rPr>
          <t xml:space="preserve">
注:
自动统计“ISR清单”中需求状态为“待分析”的ISR数量</t>
        </r>
      </text>
    </comment>
    <comment ref="B7" authorId="0" shapeId="0">
      <text>
        <r>
          <rPr>
            <b/>
            <sz val="9"/>
            <color indexed="81"/>
            <rFont val="宋体"/>
            <family val="3"/>
            <charset val="134"/>
          </rPr>
          <t>amway:</t>
        </r>
        <r>
          <rPr>
            <sz val="9"/>
            <color indexed="81"/>
            <rFont val="宋体"/>
            <family val="3"/>
            <charset val="134"/>
          </rPr>
          <t xml:space="preserve">
注:
自动统计“ISR清单”中需求状态为“待排期”的ISR数量</t>
        </r>
      </text>
    </comment>
    <comment ref="B8" authorId="0" shapeId="0">
      <text>
        <r>
          <rPr>
            <b/>
            <sz val="9"/>
            <color indexed="81"/>
            <rFont val="宋体"/>
            <family val="3"/>
            <charset val="134"/>
          </rPr>
          <t>amway:</t>
        </r>
        <r>
          <rPr>
            <sz val="9"/>
            <color indexed="81"/>
            <rFont val="宋体"/>
            <family val="3"/>
            <charset val="134"/>
          </rPr>
          <t xml:space="preserve">
注:
自动统计“ISR清单”中需求状态为“已挂起”的ISR数量</t>
        </r>
      </text>
    </comment>
    <comment ref="B9" authorId="0" shapeId="0">
      <text>
        <r>
          <rPr>
            <b/>
            <sz val="9"/>
            <color indexed="81"/>
            <rFont val="宋体"/>
            <family val="3"/>
            <charset val="134"/>
          </rPr>
          <t>amway:</t>
        </r>
        <r>
          <rPr>
            <sz val="9"/>
            <color indexed="81"/>
            <rFont val="宋体"/>
            <family val="3"/>
            <charset val="134"/>
          </rPr>
          <t xml:space="preserve">
从“退回ISR清单”sheet手动获取</t>
        </r>
      </text>
    </comment>
    <comment ref="B12" authorId="1" shapeId="0">
      <text>
        <r>
          <rPr>
            <b/>
            <sz val="9"/>
            <color indexed="81"/>
            <rFont val="宋体"/>
            <family val="3"/>
            <charset val="134"/>
          </rPr>
          <t>Amway:</t>
        </r>
        <r>
          <rPr>
            <sz val="9"/>
            <color indexed="81"/>
            <rFont val="宋体"/>
            <family val="3"/>
            <charset val="134"/>
          </rPr>
          <t xml:space="preserve">
版本详细工作计划见8th Manager</t>
        </r>
      </text>
    </comment>
  </commentList>
</comments>
</file>

<file path=xl/comments3.xml><?xml version="1.0" encoding="utf-8"?>
<comments xmlns="http://schemas.openxmlformats.org/spreadsheetml/2006/main">
  <authors>
    <author>Amway</author>
    <author>Kerust</author>
  </authors>
  <commentList>
    <comment ref="A10" authorId="0" shapeId="0">
      <text>
        <r>
          <rPr>
            <b/>
            <sz val="9"/>
            <color indexed="81"/>
            <rFont val="宋体"/>
            <family val="3"/>
            <charset val="134"/>
          </rPr>
          <t>Amway:</t>
        </r>
        <r>
          <rPr>
            <sz val="9"/>
            <color indexed="81"/>
            <rFont val="宋体"/>
            <family val="3"/>
            <charset val="134"/>
          </rPr>
          <t xml:space="preserve">
版本名称一般是产品名称+版本号</t>
        </r>
      </text>
    </comment>
    <comment ref="E10" authorId="1" shapeId="0">
      <text>
        <r>
          <rPr>
            <b/>
            <sz val="9"/>
            <color indexed="81"/>
            <rFont val="宋体"/>
            <family val="3"/>
            <charset val="134"/>
          </rPr>
          <t>Kerust:</t>
        </r>
        <r>
          <rPr>
            <sz val="9"/>
            <color indexed="81"/>
            <rFont val="宋体"/>
            <family val="3"/>
            <charset val="134"/>
          </rPr>
          <t xml:space="preserve">
如实际上线时间与计划上线时间不符，需填写不一致原因</t>
        </r>
      </text>
    </comment>
  </commentList>
</comments>
</file>

<file path=xl/comments4.xml><?xml version="1.0" encoding="utf-8"?>
<comments xmlns="http://schemas.openxmlformats.org/spreadsheetml/2006/main">
  <authors>
    <author>注</author>
    <author>刘健忠</author>
  </authors>
  <commentList>
    <comment ref="C3" authorId="0" shapeId="0">
      <text>
        <r>
          <rPr>
            <b/>
            <sz val="9"/>
            <color indexed="81"/>
            <rFont val="宋体"/>
            <family val="3"/>
            <charset val="134"/>
          </rPr>
          <t>注:</t>
        </r>
        <r>
          <rPr>
            <sz val="9"/>
            <color indexed="81"/>
            <rFont val="宋体"/>
            <family val="3"/>
            <charset val="134"/>
          </rPr>
          <t xml:space="preserve">
一般情况下，尽量不要直接复制ISR中的用户表述，而应根据业务分析员的理解及和用户的澄清结果整理后清晰描述（即用户需求）</t>
        </r>
      </text>
    </comment>
    <comment ref="D3" authorId="0" shapeId="0">
      <text>
        <r>
          <rPr>
            <b/>
            <sz val="9"/>
            <color indexed="81"/>
            <rFont val="宋体"/>
            <family val="3"/>
            <charset val="134"/>
          </rPr>
          <t>注:</t>
        </r>
        <r>
          <rPr>
            <sz val="9"/>
            <color indexed="81"/>
            <rFont val="宋体"/>
            <family val="3"/>
            <charset val="134"/>
          </rPr>
          <t xml:space="preserve">
经过分析后，详细描述系统中所有需要修改到的地方，以及如何修改。如果内容较多，这里可以只填写摘要和索引，并说明具体参考系统需求说明书哪个章节</t>
        </r>
      </text>
    </comment>
    <comment ref="I3" authorId="0" shapeId="0">
      <text>
        <r>
          <rPr>
            <b/>
            <sz val="9"/>
            <color indexed="81"/>
            <rFont val="宋体"/>
            <family val="3"/>
            <charset val="134"/>
          </rPr>
          <t>注:</t>
        </r>
        <r>
          <rPr>
            <sz val="9"/>
            <color indexed="81"/>
            <rFont val="宋体"/>
            <family val="3"/>
            <charset val="134"/>
          </rPr>
          <t xml:space="preserve">
待分析：BA未完成ISR的分析，仅将ISR从Remedy导入排期表
待排期：BA已在Remedy中接受了该ISR，并已在排期表中记录
已挂起：用户需求尚待确定/需求评估时机未成熟
已排期：该ISR已纳入某个版本并已冻结
已上线：该ISR已上线</t>
        </r>
      </text>
    </comment>
    <comment ref="L3" authorId="1" shapeId="0">
      <text>
        <r>
          <rPr>
            <b/>
            <sz val="9"/>
            <color indexed="81"/>
            <rFont val="宋体"/>
            <family val="3"/>
            <charset val="134"/>
          </rPr>
          <t>(K列“功能点数”和L列“总功能点数”选择其中一列填写)</t>
        </r>
      </text>
    </comment>
    <comment ref="M3" authorId="1" shapeId="0">
      <text>
        <r>
          <rPr>
            <b/>
            <sz val="9"/>
            <color indexed="81"/>
            <rFont val="宋体"/>
            <family val="3"/>
            <charset val="134"/>
          </rPr>
          <t>(K列“功能点数”和L列“总功能点数”选择其中一列填写)</t>
        </r>
      </text>
    </comment>
    <comment ref="R3" authorId="1" shapeId="0">
      <text>
        <r>
          <rPr>
            <b/>
            <sz val="9"/>
            <color indexed="81"/>
            <rFont val="宋体"/>
            <family val="3"/>
            <charset val="134"/>
          </rPr>
          <t>(K列“功能点数”和L列“总功能点数”选择其中一列填写)</t>
        </r>
      </text>
    </comment>
  </commentList>
</comments>
</file>

<file path=xl/comments5.xml><?xml version="1.0" encoding="utf-8"?>
<comments xmlns="http://schemas.openxmlformats.org/spreadsheetml/2006/main">
  <authors>
    <author>刘健忠</author>
  </authors>
  <commentList>
    <comment ref="K4" authorId="0" shapeId="0">
      <text>
        <r>
          <rPr>
            <b/>
            <sz val="9"/>
            <color indexed="81"/>
            <rFont val="宋体"/>
            <family val="3"/>
            <charset val="134"/>
          </rPr>
          <t>(K列“功能点数”和L列“总功能点数”选择其中一列填写)</t>
        </r>
      </text>
    </comment>
    <comment ref="L4" authorId="0" shapeId="0">
      <text>
        <r>
          <rPr>
            <b/>
            <sz val="9"/>
            <color indexed="81"/>
            <rFont val="宋体"/>
            <family val="3"/>
            <charset val="134"/>
          </rPr>
          <t>(K列“功能点数”和L列“总功能点数”选择其中一列填写)</t>
        </r>
      </text>
    </comment>
  </commentList>
</comments>
</file>

<file path=xl/comments6.xml><?xml version="1.0" encoding="utf-8"?>
<comments xmlns="http://schemas.openxmlformats.org/spreadsheetml/2006/main">
  <authors>
    <author>amway</author>
  </authors>
  <commentList>
    <comment ref="B5" authorId="0" shapeId="0">
      <text>
        <r>
          <rPr>
            <b/>
            <sz val="9"/>
            <color indexed="81"/>
            <rFont val="宋体"/>
            <family val="3"/>
            <charset val="134"/>
          </rPr>
          <t>amway:</t>
        </r>
        <r>
          <rPr>
            <sz val="9"/>
            <color indexed="81"/>
            <rFont val="宋体"/>
            <family val="3"/>
            <charset val="134"/>
          </rPr>
          <t xml:space="preserve">
根据以下“退回ISR清单”内容自动计算</t>
        </r>
      </text>
    </comment>
  </commentList>
</comments>
</file>

<file path=xl/comments7.xml><?xml version="1.0" encoding="utf-8"?>
<comments xmlns="http://schemas.openxmlformats.org/spreadsheetml/2006/main">
  <authors>
    <author>amway</author>
  </authors>
  <commentList>
    <comment ref="B5" authorId="0" shapeId="0">
      <text>
        <r>
          <rPr>
            <b/>
            <sz val="9"/>
            <color indexed="81"/>
            <rFont val="宋体"/>
            <family val="3"/>
            <charset val="134"/>
          </rPr>
          <t>amway:</t>
        </r>
        <r>
          <rPr>
            <sz val="9"/>
            <color indexed="81"/>
            <rFont val="宋体"/>
            <family val="3"/>
            <charset val="134"/>
          </rPr>
          <t xml:space="preserve">
注:
自动统计“ISR清单”中需求状态为“待分析”的ISR数量</t>
        </r>
      </text>
    </comment>
    <comment ref="B6" authorId="0" shapeId="0">
      <text>
        <r>
          <rPr>
            <b/>
            <sz val="9"/>
            <color indexed="81"/>
            <rFont val="宋体"/>
            <family val="3"/>
            <charset val="134"/>
          </rPr>
          <t>amway:</t>
        </r>
        <r>
          <rPr>
            <sz val="9"/>
            <color indexed="81"/>
            <rFont val="宋体"/>
            <family val="3"/>
            <charset val="134"/>
          </rPr>
          <t xml:space="preserve">
注:
自动统计“ISR清单”中需求状态为“待排期”的ISR数量</t>
        </r>
      </text>
    </comment>
    <comment ref="B7" authorId="0" shapeId="0">
      <text>
        <r>
          <rPr>
            <b/>
            <sz val="9"/>
            <color indexed="81"/>
            <rFont val="宋体"/>
            <family val="3"/>
            <charset val="134"/>
          </rPr>
          <t>amway:</t>
        </r>
        <r>
          <rPr>
            <sz val="9"/>
            <color indexed="81"/>
            <rFont val="宋体"/>
            <family val="3"/>
            <charset val="134"/>
          </rPr>
          <t xml:space="preserve">
注:
自动统计“ISR清单”中需求状态为“已挂起”的ISR数量</t>
        </r>
      </text>
    </comment>
    <comment ref="G10" authorId="0" shapeId="0">
      <text>
        <r>
          <rPr>
            <b/>
            <sz val="9"/>
            <color indexed="81"/>
            <rFont val="宋体"/>
            <family val="3"/>
            <charset val="134"/>
          </rPr>
          <t>amway:</t>
        </r>
        <r>
          <rPr>
            <sz val="9"/>
            <color indexed="81"/>
            <rFont val="宋体"/>
            <family val="3"/>
            <charset val="134"/>
          </rPr>
          <t xml:space="preserve">
需要手动选择,不可以复制
状态为已挂起的ISR,需要参照状态标志位说明进一步分析</t>
        </r>
      </text>
    </comment>
  </commentList>
</comments>
</file>

<file path=xl/comments8.xml><?xml version="1.0" encoding="utf-8"?>
<comments xmlns="http://schemas.openxmlformats.org/spreadsheetml/2006/main">
  <authors>
    <author>amway</author>
    <author>Amway</author>
  </authors>
  <commentList>
    <comment ref="B6" authorId="0" shapeId="0">
      <text>
        <r>
          <rPr>
            <b/>
            <sz val="9"/>
            <color indexed="81"/>
            <rFont val="宋体"/>
            <family val="3"/>
            <charset val="134"/>
          </rPr>
          <t>amway:</t>
        </r>
        <r>
          <rPr>
            <sz val="9"/>
            <color indexed="81"/>
            <rFont val="宋体"/>
            <family val="3"/>
            <charset val="134"/>
          </rPr>
          <t xml:space="preserve">
注:
自动统计“ISR清单”中需求状态为“待分析”的ISR数量</t>
        </r>
      </text>
    </comment>
    <comment ref="B7" authorId="0" shapeId="0">
      <text>
        <r>
          <rPr>
            <b/>
            <sz val="9"/>
            <color indexed="81"/>
            <rFont val="宋体"/>
            <family val="3"/>
            <charset val="134"/>
          </rPr>
          <t>amway:</t>
        </r>
        <r>
          <rPr>
            <sz val="9"/>
            <color indexed="81"/>
            <rFont val="宋体"/>
            <family val="3"/>
            <charset val="134"/>
          </rPr>
          <t xml:space="preserve">
注:
自动统计“ISR清单”中需求状态为“待排期”的ISR数量</t>
        </r>
      </text>
    </comment>
    <comment ref="B8" authorId="0" shapeId="0">
      <text>
        <r>
          <rPr>
            <b/>
            <sz val="9"/>
            <color indexed="81"/>
            <rFont val="宋体"/>
            <family val="3"/>
            <charset val="134"/>
          </rPr>
          <t>amway:</t>
        </r>
        <r>
          <rPr>
            <sz val="9"/>
            <color indexed="81"/>
            <rFont val="宋体"/>
            <family val="3"/>
            <charset val="134"/>
          </rPr>
          <t xml:space="preserve">
注:
自动统计“ISR清单”中需求状态为“已挂起”的ISR数量</t>
        </r>
      </text>
    </comment>
    <comment ref="B9" authorId="0" shapeId="0">
      <text>
        <r>
          <rPr>
            <b/>
            <sz val="9"/>
            <color indexed="81"/>
            <rFont val="宋体"/>
            <family val="3"/>
            <charset val="134"/>
          </rPr>
          <t>amway:</t>
        </r>
        <r>
          <rPr>
            <sz val="9"/>
            <color indexed="81"/>
            <rFont val="宋体"/>
            <family val="3"/>
            <charset val="134"/>
          </rPr>
          <t xml:space="preserve">
从“退回ISR清单”sheet手动获取</t>
        </r>
      </text>
    </comment>
    <comment ref="B12" authorId="1" shapeId="0">
      <text>
        <r>
          <rPr>
            <b/>
            <sz val="9"/>
            <color indexed="81"/>
            <rFont val="宋体"/>
            <family val="3"/>
            <charset val="134"/>
          </rPr>
          <t>Amway:</t>
        </r>
        <r>
          <rPr>
            <sz val="9"/>
            <color indexed="81"/>
            <rFont val="宋体"/>
            <family val="3"/>
            <charset val="134"/>
          </rPr>
          <t xml:space="preserve">
版本详细工作计划见8th Manager</t>
        </r>
      </text>
    </comment>
  </commentList>
</comments>
</file>

<file path=xl/comments9.xml><?xml version="1.0" encoding="utf-8"?>
<comments xmlns="http://schemas.openxmlformats.org/spreadsheetml/2006/main">
  <authors>
    <author>Amway</author>
  </authors>
  <commentList>
    <comment ref="I1" authorId="0" shapeId="0">
      <text>
        <r>
          <rPr>
            <b/>
            <sz val="9"/>
            <color indexed="81"/>
            <rFont val="宋体"/>
            <family val="3"/>
            <charset val="134"/>
          </rPr>
          <t>Amway:</t>
        </r>
        <r>
          <rPr>
            <sz val="9"/>
            <color indexed="81"/>
            <rFont val="宋体"/>
            <family val="3"/>
            <charset val="134"/>
          </rPr>
          <t xml:space="preserve">
没有上线的ISR和问题单都是已提交，上线后都是已关闭。主要用于筛选哪些是历史的ISR。</t>
        </r>
      </text>
    </comment>
    <comment ref="J1" authorId="0" shapeId="0">
      <text>
        <r>
          <rPr>
            <b/>
            <sz val="9"/>
            <color indexed="81"/>
            <rFont val="宋体"/>
            <family val="3"/>
            <charset val="134"/>
          </rPr>
          <t>Amway:</t>
        </r>
        <r>
          <rPr>
            <sz val="9"/>
            <color indexed="81"/>
            <rFont val="宋体"/>
            <family val="3"/>
            <charset val="134"/>
          </rPr>
          <t xml:space="preserve">
重要性越高，分数越高，最高分10，最低分1</t>
        </r>
      </text>
    </comment>
    <comment ref="K1" authorId="0" shapeId="0">
      <text>
        <r>
          <rPr>
            <b/>
            <sz val="9"/>
            <color indexed="81"/>
            <rFont val="宋体"/>
            <family val="3"/>
            <charset val="134"/>
          </rPr>
          <t>Amway:</t>
        </r>
        <r>
          <rPr>
            <sz val="9"/>
            <color indexed="81"/>
            <rFont val="宋体"/>
            <family val="3"/>
            <charset val="134"/>
          </rPr>
          <t xml:space="preserve">
紧急程度越高，分数越高，最高分10，最低分1</t>
        </r>
      </text>
    </comment>
  </commentList>
</comments>
</file>

<file path=xl/comments10.xml><?xml version="1.0" encoding="utf-8"?>
<comments xmlns="http://schemas.openxmlformats.org/spreadsheetml/2006/main">
  <authors>
    <author>amway</author>
    <author>Amway</author>
  </authors>
  <commentList>
    <comment ref="B6" authorId="0" shapeId="0">
      <text>
        <r>
          <rPr>
            <b/>
            <sz val="9"/>
            <color indexed="81"/>
            <rFont val="宋体"/>
            <family val="3"/>
            <charset val="134"/>
          </rPr>
          <t>amway:</t>
        </r>
        <r>
          <rPr>
            <sz val="9"/>
            <color indexed="81"/>
            <rFont val="宋体"/>
            <family val="3"/>
            <charset val="134"/>
          </rPr>
          <t xml:space="preserve">
注:
自动统计“ISR清单”中需求状态为“待分析”的ISR数量</t>
        </r>
      </text>
    </comment>
    <comment ref="B7" authorId="0" shapeId="0">
      <text>
        <r>
          <rPr>
            <b/>
            <sz val="9"/>
            <color indexed="81"/>
            <rFont val="宋体"/>
            <family val="3"/>
            <charset val="134"/>
          </rPr>
          <t>amway:</t>
        </r>
        <r>
          <rPr>
            <sz val="9"/>
            <color indexed="81"/>
            <rFont val="宋体"/>
            <family val="3"/>
            <charset val="134"/>
          </rPr>
          <t xml:space="preserve">
注:
自动统计“ISR清单”中需求状态为“待排期”的ISR数量</t>
        </r>
      </text>
    </comment>
    <comment ref="B8" authorId="0" shapeId="0">
      <text>
        <r>
          <rPr>
            <b/>
            <sz val="9"/>
            <color indexed="81"/>
            <rFont val="宋体"/>
            <family val="3"/>
            <charset val="134"/>
          </rPr>
          <t>amway:</t>
        </r>
        <r>
          <rPr>
            <sz val="9"/>
            <color indexed="81"/>
            <rFont val="宋体"/>
            <family val="3"/>
            <charset val="134"/>
          </rPr>
          <t xml:space="preserve">
注:
自动统计“ISR清单”中需求状态为“已挂起”的ISR数量</t>
        </r>
      </text>
    </comment>
    <comment ref="B9" authorId="0" shapeId="0">
      <text>
        <r>
          <rPr>
            <b/>
            <sz val="9"/>
            <color indexed="81"/>
            <rFont val="宋体"/>
            <family val="3"/>
            <charset val="134"/>
          </rPr>
          <t>amway:</t>
        </r>
        <r>
          <rPr>
            <sz val="9"/>
            <color indexed="81"/>
            <rFont val="宋体"/>
            <family val="3"/>
            <charset val="134"/>
          </rPr>
          <t xml:space="preserve">
从“退回ISR清单”sheet手动获取</t>
        </r>
      </text>
    </comment>
    <comment ref="B12" authorId="1" shapeId="0">
      <text>
        <r>
          <rPr>
            <b/>
            <sz val="9"/>
            <color indexed="81"/>
            <rFont val="宋体"/>
            <family val="3"/>
            <charset val="134"/>
          </rPr>
          <t>Amway:</t>
        </r>
        <r>
          <rPr>
            <sz val="9"/>
            <color indexed="81"/>
            <rFont val="宋体"/>
            <family val="3"/>
            <charset val="134"/>
          </rPr>
          <t xml:space="preserve">
版本详细工作计划见8th Manager</t>
        </r>
      </text>
    </comment>
  </commentList>
</comments>
</file>

<file path=xl/comments11.xml><?xml version="1.0" encoding="utf-8"?>
<comments xmlns="http://schemas.openxmlformats.org/spreadsheetml/2006/main">
  <authors>
    <author>amway</author>
    <author>Amway</author>
  </authors>
  <commentList>
    <comment ref="B6" authorId="0" shapeId="0">
      <text>
        <r>
          <rPr>
            <b/>
            <sz val="9"/>
            <color indexed="81"/>
            <rFont val="宋体"/>
            <family val="3"/>
            <charset val="134"/>
          </rPr>
          <t>amway:</t>
        </r>
        <r>
          <rPr>
            <sz val="9"/>
            <color indexed="81"/>
            <rFont val="宋体"/>
            <family val="3"/>
            <charset val="134"/>
          </rPr>
          <t xml:space="preserve">
注:
自动统计“ISR清单”中需求状态为“待分析”的ISR数量</t>
        </r>
      </text>
    </comment>
    <comment ref="B7" authorId="0" shapeId="0">
      <text>
        <r>
          <rPr>
            <b/>
            <sz val="9"/>
            <color indexed="81"/>
            <rFont val="宋体"/>
            <family val="3"/>
            <charset val="134"/>
          </rPr>
          <t>amway:</t>
        </r>
        <r>
          <rPr>
            <sz val="9"/>
            <color indexed="81"/>
            <rFont val="宋体"/>
            <family val="3"/>
            <charset val="134"/>
          </rPr>
          <t xml:space="preserve">
注:
自动统计“ISR清单”中需求状态为“待排期”的ISR数量</t>
        </r>
      </text>
    </comment>
    <comment ref="B8" authorId="0" shapeId="0">
      <text>
        <r>
          <rPr>
            <b/>
            <sz val="9"/>
            <color indexed="81"/>
            <rFont val="宋体"/>
            <family val="3"/>
            <charset val="134"/>
          </rPr>
          <t>amway:</t>
        </r>
        <r>
          <rPr>
            <sz val="9"/>
            <color indexed="81"/>
            <rFont val="宋体"/>
            <family val="3"/>
            <charset val="134"/>
          </rPr>
          <t xml:space="preserve">
注:
自动统计“ISR清单”中需求状态为“已挂起”的ISR数量</t>
        </r>
      </text>
    </comment>
    <comment ref="B9" authorId="0" shapeId="0">
      <text>
        <r>
          <rPr>
            <b/>
            <sz val="9"/>
            <color indexed="81"/>
            <rFont val="宋体"/>
            <family val="3"/>
            <charset val="134"/>
          </rPr>
          <t>amway:</t>
        </r>
        <r>
          <rPr>
            <sz val="9"/>
            <color indexed="81"/>
            <rFont val="宋体"/>
            <family val="3"/>
            <charset val="134"/>
          </rPr>
          <t xml:space="preserve">
从“退回ISR清单”sheet手动获取</t>
        </r>
      </text>
    </comment>
    <comment ref="B12" authorId="1" shapeId="0">
      <text>
        <r>
          <rPr>
            <b/>
            <sz val="9"/>
            <color indexed="81"/>
            <rFont val="宋体"/>
            <family val="3"/>
            <charset val="134"/>
          </rPr>
          <t>Amway:</t>
        </r>
        <r>
          <rPr>
            <sz val="9"/>
            <color indexed="81"/>
            <rFont val="宋体"/>
            <family val="3"/>
            <charset val="134"/>
          </rPr>
          <t xml:space="preserve">
版本详细工作计划见8th Manager</t>
        </r>
      </text>
    </comment>
  </commentList>
</comments>
</file>

<file path=xl/comments12.xml><?xml version="1.0" encoding="utf-8"?>
<comments xmlns="http://schemas.openxmlformats.org/spreadsheetml/2006/main">
  <authors>
    <author>amway</author>
    <author>Amway</author>
  </authors>
  <commentList>
    <comment ref="B6" authorId="0" shapeId="0">
      <text>
        <r>
          <rPr>
            <b/>
            <sz val="9"/>
            <color indexed="81"/>
            <rFont val="宋体"/>
            <family val="3"/>
            <charset val="134"/>
          </rPr>
          <t>amway:</t>
        </r>
        <r>
          <rPr>
            <sz val="9"/>
            <color indexed="81"/>
            <rFont val="宋体"/>
            <family val="3"/>
            <charset val="134"/>
          </rPr>
          <t xml:space="preserve">
注:
自动统计“ISR清单”中需求状态为“待分析”的ISR数量</t>
        </r>
      </text>
    </comment>
    <comment ref="B7" authorId="0" shapeId="0">
      <text>
        <r>
          <rPr>
            <b/>
            <sz val="9"/>
            <color indexed="81"/>
            <rFont val="宋体"/>
            <family val="3"/>
            <charset val="134"/>
          </rPr>
          <t>amway:</t>
        </r>
        <r>
          <rPr>
            <sz val="9"/>
            <color indexed="81"/>
            <rFont val="宋体"/>
            <family val="3"/>
            <charset val="134"/>
          </rPr>
          <t xml:space="preserve">
注:
自动统计“ISR清单”中需求状态为“待排期”的ISR数量</t>
        </r>
      </text>
    </comment>
    <comment ref="B8" authorId="0" shapeId="0">
      <text>
        <r>
          <rPr>
            <b/>
            <sz val="9"/>
            <color indexed="81"/>
            <rFont val="宋体"/>
            <family val="3"/>
            <charset val="134"/>
          </rPr>
          <t>amway:</t>
        </r>
        <r>
          <rPr>
            <sz val="9"/>
            <color indexed="81"/>
            <rFont val="宋体"/>
            <family val="3"/>
            <charset val="134"/>
          </rPr>
          <t xml:space="preserve">
注:
自动统计“ISR清单”中需求状态为“已挂起”的ISR数量</t>
        </r>
      </text>
    </comment>
    <comment ref="B9" authorId="0" shapeId="0">
      <text>
        <r>
          <rPr>
            <b/>
            <sz val="9"/>
            <color indexed="81"/>
            <rFont val="宋体"/>
            <family val="3"/>
            <charset val="134"/>
          </rPr>
          <t>amway:</t>
        </r>
        <r>
          <rPr>
            <sz val="9"/>
            <color indexed="81"/>
            <rFont val="宋体"/>
            <family val="3"/>
            <charset val="134"/>
          </rPr>
          <t xml:space="preserve">
从“退回ISR清单”sheet手动获取</t>
        </r>
      </text>
    </comment>
    <comment ref="B12" authorId="1" shapeId="0">
      <text>
        <r>
          <rPr>
            <b/>
            <sz val="9"/>
            <color indexed="81"/>
            <rFont val="宋体"/>
            <family val="3"/>
            <charset val="134"/>
          </rPr>
          <t>Amway:</t>
        </r>
        <r>
          <rPr>
            <sz val="9"/>
            <color indexed="81"/>
            <rFont val="宋体"/>
            <family val="3"/>
            <charset val="134"/>
          </rPr>
          <t xml:space="preserve">
版本详细工作计划见8th Manager</t>
        </r>
      </text>
    </comment>
  </commentList>
</comments>
</file>

<file path=xl/comments13.xml><?xml version="1.0" encoding="utf-8"?>
<comments xmlns="http://schemas.openxmlformats.org/spreadsheetml/2006/main">
  <authors>
    <author>amway</author>
    <author>Amway</author>
  </authors>
  <commentList>
    <comment ref="B6" authorId="0" shapeId="0">
      <text>
        <r>
          <rPr>
            <b/>
            <sz val="9"/>
            <color indexed="81"/>
            <rFont val="宋体"/>
            <family val="3"/>
            <charset val="134"/>
          </rPr>
          <t>amway:</t>
        </r>
        <r>
          <rPr>
            <sz val="9"/>
            <color indexed="81"/>
            <rFont val="宋体"/>
            <family val="3"/>
            <charset val="134"/>
          </rPr>
          <t xml:space="preserve">
注:
自动统计“ISR清单”中需求状态为“待分析”的ISR数量</t>
        </r>
      </text>
    </comment>
    <comment ref="B7" authorId="0" shapeId="0">
      <text>
        <r>
          <rPr>
            <b/>
            <sz val="9"/>
            <color indexed="81"/>
            <rFont val="宋体"/>
            <family val="3"/>
            <charset val="134"/>
          </rPr>
          <t>amway:</t>
        </r>
        <r>
          <rPr>
            <sz val="9"/>
            <color indexed="81"/>
            <rFont val="宋体"/>
            <family val="3"/>
            <charset val="134"/>
          </rPr>
          <t xml:space="preserve">
注:
自动统计“ISR清单”中需求状态为“待排期”的ISR数量</t>
        </r>
      </text>
    </comment>
    <comment ref="B8" authorId="0" shapeId="0">
      <text>
        <r>
          <rPr>
            <b/>
            <sz val="9"/>
            <color indexed="81"/>
            <rFont val="宋体"/>
            <family val="3"/>
            <charset val="134"/>
          </rPr>
          <t>amway:</t>
        </r>
        <r>
          <rPr>
            <sz val="9"/>
            <color indexed="81"/>
            <rFont val="宋体"/>
            <family val="3"/>
            <charset val="134"/>
          </rPr>
          <t xml:space="preserve">
注:
自动统计“ISR清单”中需求状态为“已挂起”的ISR数量</t>
        </r>
      </text>
    </comment>
    <comment ref="B9" authorId="0" shapeId="0">
      <text>
        <r>
          <rPr>
            <b/>
            <sz val="9"/>
            <color indexed="81"/>
            <rFont val="宋体"/>
            <family val="3"/>
            <charset val="134"/>
          </rPr>
          <t>amway:</t>
        </r>
        <r>
          <rPr>
            <sz val="9"/>
            <color indexed="81"/>
            <rFont val="宋体"/>
            <family val="3"/>
            <charset val="134"/>
          </rPr>
          <t xml:space="preserve">
从“退回ISR清单”sheet手动获取</t>
        </r>
      </text>
    </comment>
    <comment ref="B12" authorId="1" shapeId="0">
      <text>
        <r>
          <rPr>
            <b/>
            <sz val="9"/>
            <color indexed="81"/>
            <rFont val="宋体"/>
            <family val="3"/>
            <charset val="134"/>
          </rPr>
          <t>Amway:</t>
        </r>
        <r>
          <rPr>
            <sz val="9"/>
            <color indexed="81"/>
            <rFont val="宋体"/>
            <family val="3"/>
            <charset val="134"/>
          </rPr>
          <t xml:space="preserve">
版本详细工作计划见8th Manager</t>
        </r>
      </text>
    </comment>
  </commentList>
</comments>
</file>

<file path=xl/comments14.xml><?xml version="1.0" encoding="utf-8"?>
<comments xmlns="http://schemas.openxmlformats.org/spreadsheetml/2006/main">
  <authors>
    <author>amway</author>
    <author>Amway</author>
  </authors>
  <commentList>
    <comment ref="B6" authorId="0" shapeId="0">
      <text>
        <r>
          <rPr>
            <b/>
            <sz val="9"/>
            <color indexed="81"/>
            <rFont val="宋体"/>
            <family val="3"/>
            <charset val="134"/>
          </rPr>
          <t>amway:</t>
        </r>
        <r>
          <rPr>
            <sz val="9"/>
            <color indexed="81"/>
            <rFont val="宋体"/>
            <family val="3"/>
            <charset val="134"/>
          </rPr>
          <t xml:space="preserve">
注:
自动统计“ISR清单”中需求状态为“待分析”的ISR数量</t>
        </r>
      </text>
    </comment>
    <comment ref="B7" authorId="0" shapeId="0">
      <text>
        <r>
          <rPr>
            <b/>
            <sz val="9"/>
            <color indexed="81"/>
            <rFont val="宋体"/>
            <family val="3"/>
            <charset val="134"/>
          </rPr>
          <t>amway:</t>
        </r>
        <r>
          <rPr>
            <sz val="9"/>
            <color indexed="81"/>
            <rFont val="宋体"/>
            <family val="3"/>
            <charset val="134"/>
          </rPr>
          <t xml:space="preserve">
注:
自动统计“ISR清单”中需求状态为“待排期”的ISR数量</t>
        </r>
      </text>
    </comment>
    <comment ref="B8" authorId="0" shapeId="0">
      <text>
        <r>
          <rPr>
            <b/>
            <sz val="9"/>
            <color indexed="81"/>
            <rFont val="宋体"/>
            <family val="3"/>
            <charset val="134"/>
          </rPr>
          <t>amway:</t>
        </r>
        <r>
          <rPr>
            <sz val="9"/>
            <color indexed="81"/>
            <rFont val="宋体"/>
            <family val="3"/>
            <charset val="134"/>
          </rPr>
          <t xml:space="preserve">
注:
自动统计“ISR清单”中需求状态为“已挂起”的ISR数量</t>
        </r>
      </text>
    </comment>
    <comment ref="B9" authorId="0" shapeId="0">
      <text>
        <r>
          <rPr>
            <b/>
            <sz val="9"/>
            <color indexed="81"/>
            <rFont val="宋体"/>
            <family val="3"/>
            <charset val="134"/>
          </rPr>
          <t>amway:</t>
        </r>
        <r>
          <rPr>
            <sz val="9"/>
            <color indexed="81"/>
            <rFont val="宋体"/>
            <family val="3"/>
            <charset val="134"/>
          </rPr>
          <t xml:space="preserve">
从“退回ISR清单”sheet手动获取</t>
        </r>
      </text>
    </comment>
    <comment ref="B12" authorId="1" shapeId="0">
      <text>
        <r>
          <rPr>
            <b/>
            <sz val="9"/>
            <color indexed="81"/>
            <rFont val="宋体"/>
            <family val="3"/>
            <charset val="134"/>
          </rPr>
          <t>Amway:</t>
        </r>
        <r>
          <rPr>
            <sz val="9"/>
            <color indexed="81"/>
            <rFont val="宋体"/>
            <family val="3"/>
            <charset val="134"/>
          </rPr>
          <t xml:space="preserve">
版本详细工作计划见8th Manager</t>
        </r>
      </text>
    </comment>
  </commentList>
</comments>
</file>

<file path=xl/comments15.xml><?xml version="1.0" encoding="utf-8"?>
<comments xmlns="http://schemas.openxmlformats.org/spreadsheetml/2006/main">
  <authors>
    <author>amway</author>
    <author>Amway</author>
  </authors>
  <commentList>
    <comment ref="B6" authorId="0" shapeId="0">
      <text>
        <r>
          <rPr>
            <b/>
            <sz val="9"/>
            <color indexed="81"/>
            <rFont val="宋体"/>
            <family val="3"/>
            <charset val="134"/>
          </rPr>
          <t>amway:</t>
        </r>
        <r>
          <rPr>
            <sz val="9"/>
            <color indexed="81"/>
            <rFont val="宋体"/>
            <family val="3"/>
            <charset val="134"/>
          </rPr>
          <t xml:space="preserve">
注:
自动统计“ISR清单”中需求状态为“待分析”的ISR数量</t>
        </r>
      </text>
    </comment>
    <comment ref="B7" authorId="0" shapeId="0">
      <text>
        <r>
          <rPr>
            <b/>
            <sz val="9"/>
            <color indexed="81"/>
            <rFont val="宋体"/>
            <family val="3"/>
            <charset val="134"/>
          </rPr>
          <t>amway:</t>
        </r>
        <r>
          <rPr>
            <sz val="9"/>
            <color indexed="81"/>
            <rFont val="宋体"/>
            <family val="3"/>
            <charset val="134"/>
          </rPr>
          <t xml:space="preserve">
注:
自动统计“ISR清单”中需求状态为“待排期”的ISR数量</t>
        </r>
      </text>
    </comment>
    <comment ref="B8" authorId="0" shapeId="0">
      <text>
        <r>
          <rPr>
            <b/>
            <sz val="9"/>
            <color indexed="81"/>
            <rFont val="宋体"/>
            <family val="3"/>
            <charset val="134"/>
          </rPr>
          <t>amway:</t>
        </r>
        <r>
          <rPr>
            <sz val="9"/>
            <color indexed="81"/>
            <rFont val="宋体"/>
            <family val="3"/>
            <charset val="134"/>
          </rPr>
          <t xml:space="preserve">
注:
自动统计“ISR清单”中需求状态为“已挂起”的ISR数量</t>
        </r>
      </text>
    </comment>
    <comment ref="B9" authorId="0" shapeId="0">
      <text>
        <r>
          <rPr>
            <b/>
            <sz val="9"/>
            <color indexed="81"/>
            <rFont val="宋体"/>
            <family val="3"/>
            <charset val="134"/>
          </rPr>
          <t>amway:</t>
        </r>
        <r>
          <rPr>
            <sz val="9"/>
            <color indexed="81"/>
            <rFont val="宋体"/>
            <family val="3"/>
            <charset val="134"/>
          </rPr>
          <t xml:space="preserve">
从“退回ISR清单”sheet手动获取</t>
        </r>
      </text>
    </comment>
    <comment ref="B12" authorId="1" shapeId="0">
      <text>
        <r>
          <rPr>
            <b/>
            <sz val="9"/>
            <color indexed="81"/>
            <rFont val="宋体"/>
            <family val="3"/>
            <charset val="134"/>
          </rPr>
          <t>Amway:</t>
        </r>
        <r>
          <rPr>
            <sz val="9"/>
            <color indexed="81"/>
            <rFont val="宋体"/>
            <family val="3"/>
            <charset val="134"/>
          </rPr>
          <t xml:space="preserve">
版本详细工作计划见8th Manager</t>
        </r>
      </text>
    </comment>
  </commentList>
</comments>
</file>

<file path=xl/comments16.xml><?xml version="1.0" encoding="utf-8"?>
<comments xmlns="http://schemas.openxmlformats.org/spreadsheetml/2006/main">
  <authors>
    <author>amway</author>
    <author>Amway</author>
  </authors>
  <commentList>
    <comment ref="B6" authorId="0" shapeId="0">
      <text>
        <r>
          <rPr>
            <b/>
            <sz val="9"/>
            <color indexed="81"/>
            <rFont val="宋体"/>
            <family val="3"/>
            <charset val="134"/>
          </rPr>
          <t>amway:</t>
        </r>
        <r>
          <rPr>
            <sz val="9"/>
            <color indexed="81"/>
            <rFont val="宋体"/>
            <family val="3"/>
            <charset val="134"/>
          </rPr>
          <t xml:space="preserve">
注:
自动统计“ISR清单”中需求状态为“待分析”的ISR数量</t>
        </r>
      </text>
    </comment>
    <comment ref="B7" authorId="0" shapeId="0">
      <text>
        <r>
          <rPr>
            <b/>
            <sz val="9"/>
            <color indexed="81"/>
            <rFont val="宋体"/>
            <family val="3"/>
            <charset val="134"/>
          </rPr>
          <t>amway:</t>
        </r>
        <r>
          <rPr>
            <sz val="9"/>
            <color indexed="81"/>
            <rFont val="宋体"/>
            <family val="3"/>
            <charset val="134"/>
          </rPr>
          <t xml:space="preserve">
注:
自动统计“ISR清单”中需求状态为“待排期”的ISR数量</t>
        </r>
      </text>
    </comment>
    <comment ref="B8" authorId="0" shapeId="0">
      <text>
        <r>
          <rPr>
            <b/>
            <sz val="9"/>
            <color indexed="81"/>
            <rFont val="宋体"/>
            <family val="3"/>
            <charset val="134"/>
          </rPr>
          <t>amway:</t>
        </r>
        <r>
          <rPr>
            <sz val="9"/>
            <color indexed="81"/>
            <rFont val="宋体"/>
            <family val="3"/>
            <charset val="134"/>
          </rPr>
          <t xml:space="preserve">
注:
自动统计“ISR清单”中需求状态为“已挂起”的ISR数量</t>
        </r>
      </text>
    </comment>
    <comment ref="B9" authorId="0" shapeId="0">
      <text>
        <r>
          <rPr>
            <b/>
            <sz val="9"/>
            <color indexed="81"/>
            <rFont val="宋体"/>
            <family val="3"/>
            <charset val="134"/>
          </rPr>
          <t>amway:</t>
        </r>
        <r>
          <rPr>
            <sz val="9"/>
            <color indexed="81"/>
            <rFont val="宋体"/>
            <family val="3"/>
            <charset val="134"/>
          </rPr>
          <t xml:space="preserve">
从“退回ISR清单”sheet手动获取</t>
        </r>
      </text>
    </comment>
    <comment ref="B12" authorId="1" shapeId="0">
      <text>
        <r>
          <rPr>
            <b/>
            <sz val="9"/>
            <color indexed="81"/>
            <rFont val="宋体"/>
            <family val="3"/>
            <charset val="134"/>
          </rPr>
          <t>Amway:</t>
        </r>
        <r>
          <rPr>
            <sz val="9"/>
            <color indexed="81"/>
            <rFont val="宋体"/>
            <family val="3"/>
            <charset val="134"/>
          </rPr>
          <t xml:space="preserve">
版本详细工作计划见8th Manager</t>
        </r>
      </text>
    </comment>
  </commentList>
</comments>
</file>

<file path=xl/comments17.xml><?xml version="1.0" encoding="utf-8"?>
<comments xmlns="http://schemas.openxmlformats.org/spreadsheetml/2006/main">
  <authors>
    <author>amway</author>
    <author>Amway</author>
  </authors>
  <commentList>
    <comment ref="B6" authorId="0" shapeId="0">
      <text>
        <r>
          <rPr>
            <b/>
            <sz val="9"/>
            <color indexed="81"/>
            <rFont val="宋体"/>
            <family val="3"/>
            <charset val="134"/>
          </rPr>
          <t>amway:</t>
        </r>
        <r>
          <rPr>
            <sz val="9"/>
            <color indexed="81"/>
            <rFont val="宋体"/>
            <family val="3"/>
            <charset val="134"/>
          </rPr>
          <t xml:space="preserve">
注:
自动统计“ISR清单”中需求状态为“待分析”的ISR数量</t>
        </r>
      </text>
    </comment>
    <comment ref="B7" authorId="0" shapeId="0">
      <text>
        <r>
          <rPr>
            <b/>
            <sz val="9"/>
            <color indexed="81"/>
            <rFont val="宋体"/>
            <family val="3"/>
            <charset val="134"/>
          </rPr>
          <t>amway:</t>
        </r>
        <r>
          <rPr>
            <sz val="9"/>
            <color indexed="81"/>
            <rFont val="宋体"/>
            <family val="3"/>
            <charset val="134"/>
          </rPr>
          <t xml:space="preserve">
注:
自动统计“ISR清单”中需求状态为“待排期”的ISR数量</t>
        </r>
      </text>
    </comment>
    <comment ref="B8" authorId="0" shapeId="0">
      <text>
        <r>
          <rPr>
            <b/>
            <sz val="9"/>
            <color indexed="81"/>
            <rFont val="宋体"/>
            <family val="3"/>
            <charset val="134"/>
          </rPr>
          <t>amway:</t>
        </r>
        <r>
          <rPr>
            <sz val="9"/>
            <color indexed="81"/>
            <rFont val="宋体"/>
            <family val="3"/>
            <charset val="134"/>
          </rPr>
          <t xml:space="preserve">
注:
自动统计“ISR清单”中需求状态为“已挂起”的ISR数量</t>
        </r>
      </text>
    </comment>
    <comment ref="B9" authorId="0" shapeId="0">
      <text>
        <r>
          <rPr>
            <b/>
            <sz val="9"/>
            <color indexed="81"/>
            <rFont val="宋体"/>
            <family val="3"/>
            <charset val="134"/>
          </rPr>
          <t>amway:</t>
        </r>
        <r>
          <rPr>
            <sz val="9"/>
            <color indexed="81"/>
            <rFont val="宋体"/>
            <family val="3"/>
            <charset val="134"/>
          </rPr>
          <t xml:space="preserve">
从“退回ISR清单”sheet手动获取</t>
        </r>
      </text>
    </comment>
    <comment ref="B12" authorId="1" shapeId="0">
      <text>
        <r>
          <rPr>
            <b/>
            <sz val="9"/>
            <color indexed="81"/>
            <rFont val="宋体"/>
            <family val="3"/>
            <charset val="134"/>
          </rPr>
          <t>Amway:</t>
        </r>
        <r>
          <rPr>
            <sz val="9"/>
            <color indexed="81"/>
            <rFont val="宋体"/>
            <family val="3"/>
            <charset val="134"/>
          </rPr>
          <t xml:space="preserve">
版本详细工作计划见8th Manager</t>
        </r>
      </text>
    </comment>
  </commentList>
</comments>
</file>

<file path=xl/comments18.xml><?xml version="1.0" encoding="utf-8"?>
<comments xmlns="http://schemas.openxmlformats.org/spreadsheetml/2006/main">
  <authors>
    <author>amway</author>
    <author>Amway</author>
  </authors>
  <commentList>
    <comment ref="B6" authorId="0" shapeId="0">
      <text>
        <r>
          <rPr>
            <b/>
            <sz val="9"/>
            <color indexed="81"/>
            <rFont val="宋体"/>
            <family val="3"/>
            <charset val="134"/>
          </rPr>
          <t>amway:</t>
        </r>
        <r>
          <rPr>
            <sz val="9"/>
            <color indexed="81"/>
            <rFont val="宋体"/>
            <family val="3"/>
            <charset val="134"/>
          </rPr>
          <t xml:space="preserve">
注:
自动统计“ISR清单”中需求状态为“待分析”的ISR数量</t>
        </r>
      </text>
    </comment>
    <comment ref="B7" authorId="0" shapeId="0">
      <text>
        <r>
          <rPr>
            <b/>
            <sz val="9"/>
            <color indexed="81"/>
            <rFont val="宋体"/>
            <family val="3"/>
            <charset val="134"/>
          </rPr>
          <t>amway:</t>
        </r>
        <r>
          <rPr>
            <sz val="9"/>
            <color indexed="81"/>
            <rFont val="宋体"/>
            <family val="3"/>
            <charset val="134"/>
          </rPr>
          <t xml:space="preserve">
注:
自动统计“ISR清单”中需求状态为“待排期”的ISR数量</t>
        </r>
      </text>
    </comment>
    <comment ref="B8" authorId="0" shapeId="0">
      <text>
        <r>
          <rPr>
            <b/>
            <sz val="9"/>
            <color indexed="81"/>
            <rFont val="宋体"/>
            <family val="3"/>
            <charset val="134"/>
          </rPr>
          <t>amway:</t>
        </r>
        <r>
          <rPr>
            <sz val="9"/>
            <color indexed="81"/>
            <rFont val="宋体"/>
            <family val="3"/>
            <charset val="134"/>
          </rPr>
          <t xml:space="preserve">
注:
自动统计“ISR清单”中需求状态为“已挂起”的ISR数量</t>
        </r>
      </text>
    </comment>
    <comment ref="B9" authorId="0" shapeId="0">
      <text>
        <r>
          <rPr>
            <b/>
            <sz val="9"/>
            <color indexed="81"/>
            <rFont val="宋体"/>
            <family val="3"/>
            <charset val="134"/>
          </rPr>
          <t>amway:</t>
        </r>
        <r>
          <rPr>
            <sz val="9"/>
            <color indexed="81"/>
            <rFont val="宋体"/>
            <family val="3"/>
            <charset val="134"/>
          </rPr>
          <t xml:space="preserve">
从“退回ISR清单”sheet手动获取</t>
        </r>
      </text>
    </comment>
    <comment ref="B12" authorId="1" shapeId="0">
      <text>
        <r>
          <rPr>
            <b/>
            <sz val="9"/>
            <color indexed="81"/>
            <rFont val="宋体"/>
            <family val="3"/>
            <charset val="134"/>
          </rPr>
          <t>Amway:</t>
        </r>
        <r>
          <rPr>
            <sz val="9"/>
            <color indexed="81"/>
            <rFont val="宋体"/>
            <family val="3"/>
            <charset val="134"/>
          </rPr>
          <t xml:space="preserve">
版本详细工作计划见8th Manager</t>
        </r>
      </text>
    </comment>
  </commentList>
</comments>
</file>

<file path=xl/sharedStrings.xml><?xml version="1.0" encoding="utf-8"?>
<sst xmlns="http://schemas.openxmlformats.org/spreadsheetml/2006/main" count="865" uniqueCount="354">
  <si>
    <t>保密级别:内部使用级</t>
    <phoneticPr fontId="1" type="noConversion"/>
  </si>
  <si>
    <t>修订记录</t>
    <phoneticPr fontId="1" type="noConversion"/>
  </si>
  <si>
    <t>作者</t>
    <phoneticPr fontId="1" type="noConversion"/>
  </si>
  <si>
    <t>审批人</t>
    <phoneticPr fontId="1" type="noConversion"/>
  </si>
  <si>
    <t>描述</t>
    <phoneticPr fontId="1" type="noConversion"/>
  </si>
  <si>
    <t>模版版本号:V1.0</t>
    <phoneticPr fontId="1" type="noConversion"/>
  </si>
  <si>
    <t>发布日期</t>
    <phoneticPr fontId="1" type="noConversion"/>
  </si>
  <si>
    <t>发布版本号</t>
    <phoneticPr fontId="1" type="noConversion"/>
  </si>
  <si>
    <t>（2）版本需求冻结日期与版本上线日期之间的间隔时间是根据可投入该例行升级工作的人力决定的。</t>
    <phoneticPr fontId="1" type="noConversion"/>
  </si>
  <si>
    <t>填写注意点：</t>
    <phoneticPr fontId="1" type="noConversion"/>
  </si>
  <si>
    <t>填写说明：本页内容由产品线负责人填写，每个季度最后一周更新下季度的版本计划</t>
    <phoneticPr fontId="1" type="noConversion"/>
  </si>
  <si>
    <t>（1）一般系统升级版本两周一个或一个月一个，周期不宜过短或过长。</t>
    <phoneticPr fontId="1" type="noConversion"/>
  </si>
  <si>
    <t>（3）版本需求冻结日期与版本上线日期之间要预留充足的时间，这段时间用于做需求分析，设计，编码、测试与部署</t>
    <phoneticPr fontId="1" type="noConversion"/>
  </si>
  <si>
    <t>（4）版本上线日期注意与SST的工作周期相结合</t>
    <phoneticPr fontId="1" type="noConversion"/>
  </si>
  <si>
    <t>版本名称</t>
    <phoneticPr fontId="1" type="noConversion"/>
  </si>
  <si>
    <t>版本上线日期</t>
    <phoneticPr fontId="1" type="noConversion"/>
  </si>
  <si>
    <t>备注</t>
    <phoneticPr fontId="1" type="noConversion"/>
  </si>
  <si>
    <t>版本总体计划：</t>
    <phoneticPr fontId="1" type="noConversion"/>
  </si>
  <si>
    <t>活动名称</t>
    <phoneticPr fontId="1" type="noConversion"/>
  </si>
  <si>
    <t>应用系统上线</t>
    <phoneticPr fontId="1" type="noConversion"/>
  </si>
  <si>
    <t>备注</t>
    <phoneticPr fontId="1" type="noConversion"/>
  </si>
  <si>
    <t>*ISR或CQ问题单编号</t>
    <phoneticPr fontId="1" type="noConversion"/>
  </si>
  <si>
    <t>*提出日期</t>
    <phoneticPr fontId="1" type="noConversion"/>
  </si>
  <si>
    <t>*申请原因或摘要</t>
    <phoneticPr fontId="1" type="noConversion"/>
  </si>
  <si>
    <t>*具体需求或描述</t>
    <phoneticPr fontId="1" type="noConversion"/>
  </si>
  <si>
    <t>*服务等级或问题级别</t>
    <phoneticPr fontId="1" type="noConversion"/>
  </si>
  <si>
    <t>*处理人</t>
    <phoneticPr fontId="1" type="noConversion"/>
  </si>
  <si>
    <t>*用户期望完成时间</t>
    <phoneticPr fontId="1" type="noConversion"/>
  </si>
  <si>
    <t>SST评分</t>
    <phoneticPr fontId="1" type="noConversion"/>
  </si>
  <si>
    <t>*状态</t>
    <phoneticPr fontId="1" type="noConversion"/>
  </si>
  <si>
    <t>*重要性</t>
    <phoneticPr fontId="1" type="noConversion"/>
  </si>
  <si>
    <t>*紧急程度</t>
    <phoneticPr fontId="1" type="noConversion"/>
  </si>
  <si>
    <t>*优先级别</t>
    <phoneticPr fontId="1" type="noConversion"/>
  </si>
  <si>
    <t>*受影响的关联系统</t>
    <phoneticPr fontId="1" type="noConversion"/>
  </si>
  <si>
    <t>*是否需要试运行</t>
    <phoneticPr fontId="1" type="noConversion"/>
  </si>
  <si>
    <t>*纳入版本</t>
    <phoneticPr fontId="1" type="noConversion"/>
  </si>
  <si>
    <t>*工作量估算（人天）</t>
    <phoneticPr fontId="1" type="noConversion"/>
  </si>
  <si>
    <t>*是否需要用户验收测试</t>
    <phoneticPr fontId="1" type="noConversion"/>
  </si>
  <si>
    <t>XXXXXX产品  版本需求排期表</t>
    <phoneticPr fontId="1" type="noConversion"/>
  </si>
  <si>
    <t>DTF-074版本需求排期表</t>
    <phoneticPr fontId="1" type="noConversion"/>
  </si>
  <si>
    <t>填写说明：
1、进行排期前，BA收集ISR和问题单，并填写初稿。排期时直接在该表中填写调整后的结果；
2、黄色部分的信息从Remedy中导出，绿色部分开发团队根据自己的评估填写内容。
3、产品线计划每个版本可投入的维护人力由产品线负责人给出，用于对比每个版本计划投入人力是否超出了预算。
4、对于产品线维护类中的开发任务，如果归到例行版本中一起发布，也要通过排期机制进行排期，并将结果列到该表中
5、对于一个ISR或问题单在不同的版本中实现的情况，同一个ISR或问题单写多行，分别纳入不同的版本，在备注列概要说</t>
  </si>
  <si>
    <t>冻结公告发布日期</t>
    <phoneticPr fontId="1" type="noConversion"/>
  </si>
  <si>
    <t>注意：所有列为必填字段，黄色列内容由BA填写，绿色列内容由产品线负责人填写；</t>
    <phoneticPr fontId="1" type="noConversion"/>
  </si>
  <si>
    <t>ISR编号</t>
    <phoneticPr fontId="1" type="noConversion"/>
  </si>
  <si>
    <t>提出日期</t>
  </si>
  <si>
    <t>提出日期</t>
    <phoneticPr fontId="1" type="noConversion"/>
  </si>
  <si>
    <t>需求原因及描述</t>
  </si>
  <si>
    <t>需求原因及描述</t>
    <phoneticPr fontId="1" type="noConversion"/>
  </si>
  <si>
    <t>申请人</t>
  </si>
  <si>
    <t>受影响的关联系统</t>
    <phoneticPr fontId="1" type="noConversion"/>
  </si>
  <si>
    <t>产品线计划每个版本可投入的维护人力（人天）：</t>
    <phoneticPr fontId="1" type="noConversion"/>
  </si>
  <si>
    <t>缺陷及问题单编号</t>
    <phoneticPr fontId="1" type="noConversion"/>
  </si>
  <si>
    <t>提交时间</t>
    <phoneticPr fontId="1" type="noConversion"/>
  </si>
  <si>
    <t>状态</t>
    <phoneticPr fontId="1" type="noConversion"/>
  </si>
  <si>
    <t>缺陷及问题描述</t>
    <phoneticPr fontId="1" type="noConversion"/>
  </si>
  <si>
    <t>注意：本页内容全部由产品线负责人填写，所有列都是必填项</t>
    <phoneticPr fontId="1" type="noConversion"/>
  </si>
  <si>
    <t>估算总工作量</t>
    <phoneticPr fontId="1" type="noConversion"/>
  </si>
  <si>
    <t>XXX系统 XX月份版本冻结公告</t>
    <phoneticPr fontId="1" type="noConversion"/>
  </si>
  <si>
    <t>计划完成日期</t>
    <phoneticPr fontId="1" type="noConversion"/>
  </si>
  <si>
    <t>计划开始日期</t>
    <phoneticPr fontId="1" type="noConversion"/>
  </si>
  <si>
    <t>年初产品线计划可投入的维护人力（人天）</t>
    <phoneticPr fontId="1" type="noConversion"/>
  </si>
  <si>
    <t>版本名称</t>
    <phoneticPr fontId="1" type="noConversion"/>
  </si>
  <si>
    <t>冻结公告发送对象：</t>
    <phoneticPr fontId="1" type="noConversion"/>
  </si>
  <si>
    <t>ISR编号</t>
    <phoneticPr fontId="1" type="noConversion"/>
  </si>
  <si>
    <t>缺陷及问题单编号</t>
    <phoneticPr fontId="1" type="noConversion"/>
  </si>
  <si>
    <t>版本名称</t>
    <phoneticPr fontId="1" type="noConversion"/>
  </si>
  <si>
    <t>上线日期</t>
    <phoneticPr fontId="1" type="noConversion"/>
  </si>
  <si>
    <t>系统名称</t>
    <phoneticPr fontId="1" type="noConversion"/>
  </si>
  <si>
    <t>版本包含的ISR：</t>
    <phoneticPr fontId="1" type="noConversion"/>
  </si>
  <si>
    <t>版本包含的问题单：</t>
    <phoneticPr fontId="1" type="noConversion"/>
  </si>
  <si>
    <t>关联系统版本：</t>
    <phoneticPr fontId="1" type="noConversion"/>
  </si>
  <si>
    <t>受影响的关联系统</t>
    <phoneticPr fontId="1" type="noConversion"/>
  </si>
  <si>
    <t>估算总工作量</t>
    <phoneticPr fontId="1" type="noConversion"/>
  </si>
  <si>
    <t>用户验收测试</t>
    <phoneticPr fontId="1" type="noConversion"/>
  </si>
  <si>
    <t>系统测试</t>
    <phoneticPr fontId="1" type="noConversion"/>
  </si>
  <si>
    <t>版本冻结公告制定并正式发布</t>
    <phoneticPr fontId="1" type="noConversion"/>
  </si>
  <si>
    <t>备注</t>
    <phoneticPr fontId="1" type="noConversion"/>
  </si>
  <si>
    <t>实际上线日期</t>
    <phoneticPr fontId="1" type="noConversion"/>
  </si>
  <si>
    <t>待处理ISR清单：</t>
    <phoneticPr fontId="1" type="noConversion"/>
  </si>
  <si>
    <t>退回的ISR数量</t>
    <phoneticPr fontId="1" type="noConversion"/>
  </si>
  <si>
    <t>退回的ISR清单：</t>
    <phoneticPr fontId="1" type="noConversion"/>
  </si>
  <si>
    <t>XXX系统 退回ISR清单</t>
    <phoneticPr fontId="1" type="noConversion"/>
  </si>
  <si>
    <r>
      <t xml:space="preserve">    各位同事，以下是</t>
    </r>
    <r>
      <rPr>
        <b/>
        <sz val="10"/>
        <color indexed="12"/>
        <rFont val="宋体"/>
        <family val="3"/>
        <charset val="134"/>
      </rPr>
      <t>XXX</t>
    </r>
    <r>
      <rPr>
        <b/>
        <sz val="10"/>
        <rFont val="宋体"/>
        <family val="3"/>
        <charset val="134"/>
      </rPr>
      <t>系统</t>
    </r>
    <r>
      <rPr>
        <b/>
        <sz val="10"/>
        <color indexed="12"/>
        <rFont val="宋体"/>
        <family val="3"/>
        <charset val="134"/>
      </rPr>
      <t>XX</t>
    </r>
    <r>
      <rPr>
        <b/>
        <sz val="10"/>
        <rFont val="宋体"/>
        <family val="3"/>
        <charset val="134"/>
      </rPr>
      <t>月</t>
    </r>
    <r>
      <rPr>
        <b/>
        <sz val="10"/>
        <color indexed="12"/>
        <rFont val="宋体"/>
        <family val="3"/>
        <charset val="134"/>
      </rPr>
      <t>XX</t>
    </r>
    <r>
      <rPr>
        <b/>
        <sz val="10"/>
        <rFont val="宋体"/>
        <family val="3"/>
        <charset val="134"/>
      </rPr>
      <t>日到</t>
    </r>
    <r>
      <rPr>
        <b/>
        <sz val="10"/>
        <color indexed="12"/>
        <rFont val="宋体"/>
        <family val="3"/>
        <charset val="134"/>
      </rPr>
      <t>XX</t>
    </r>
    <r>
      <rPr>
        <b/>
        <sz val="10"/>
        <rFont val="宋体"/>
        <family val="3"/>
        <charset val="134"/>
      </rPr>
      <t>月</t>
    </r>
    <r>
      <rPr>
        <b/>
        <sz val="10"/>
        <color indexed="12"/>
        <rFont val="宋体"/>
        <family val="3"/>
        <charset val="134"/>
      </rPr>
      <t>XX</t>
    </r>
    <r>
      <rPr>
        <b/>
        <sz val="10"/>
        <rFont val="宋体"/>
        <family val="3"/>
        <charset val="134"/>
      </rPr>
      <t>日期间（统计周期为1个月），电脑部经过分析并且与ISR提出人确认后，退回的ISR清单。任何问题，请与本系统业务分析员联系。
    业务分析员联系方式：姓名，联系电话
    感谢大家对电脑部工作的配合。
    ISR退回标准/原因：
    1、合并到其他ISR
    2、已有其他方案
    3、用户取消
    4、用户需求变更
    5、用户需求重复提交
    6、当前技术无法实现
    7、缺乏公司业务政策支持/业务政策即将失效</t>
    </r>
    <phoneticPr fontId="1" type="noConversion"/>
  </si>
  <si>
    <t>退回原因</t>
    <phoneticPr fontId="1" type="noConversion"/>
  </si>
  <si>
    <t>备注</t>
    <phoneticPr fontId="1" type="noConversion"/>
  </si>
  <si>
    <t>待排期的ISR数量</t>
    <phoneticPr fontId="1" type="noConversion"/>
  </si>
  <si>
    <t>待分析的ISR数量</t>
    <phoneticPr fontId="1" type="noConversion"/>
  </si>
  <si>
    <t>已挂起的ISR数量</t>
    <phoneticPr fontId="1" type="noConversion"/>
  </si>
  <si>
    <r>
      <t xml:space="preserve">    各位同事，以下是</t>
    </r>
    <r>
      <rPr>
        <b/>
        <sz val="10"/>
        <color indexed="12"/>
        <rFont val="宋体"/>
        <family val="3"/>
        <charset val="134"/>
      </rPr>
      <t>XXX</t>
    </r>
    <r>
      <rPr>
        <b/>
        <sz val="10"/>
        <rFont val="宋体"/>
        <family val="3"/>
        <charset val="134"/>
      </rPr>
      <t>系统截至到</t>
    </r>
    <r>
      <rPr>
        <b/>
        <sz val="10"/>
        <color indexed="12"/>
        <rFont val="宋体"/>
        <family val="3"/>
        <charset val="134"/>
      </rPr>
      <t>XX</t>
    </r>
    <r>
      <rPr>
        <b/>
        <sz val="10"/>
        <rFont val="宋体"/>
        <family val="3"/>
        <charset val="134"/>
      </rPr>
      <t>月</t>
    </r>
    <r>
      <rPr>
        <b/>
        <sz val="10"/>
        <color indexed="12"/>
        <rFont val="宋体"/>
        <family val="3"/>
        <charset val="134"/>
      </rPr>
      <t>XX</t>
    </r>
    <r>
      <rPr>
        <b/>
        <sz val="10"/>
        <rFont val="宋体"/>
        <family val="3"/>
        <charset val="134"/>
      </rPr>
      <t>日，待处理（包括待排期/已挂起）的ISR清单，排名不分先后。业务分析员将在ISR纳入排期之前，与需求ISR提出人联系沟通确认。
    在待处理期间，如果ISR的内容发生任何改变（包括推迟上线时间，提前实施，取消ISR的处理等），请ISR提出人与系统对应的业务分析员进行沟通。状态为挂起且挂起原因为“用户需求尚未确认”的ISR，若状态发生变化，请ISR提出人主动与业务分析员联系。
    业务分析员联系方式：</t>
    </r>
    <r>
      <rPr>
        <b/>
        <sz val="10"/>
        <color indexed="12"/>
        <rFont val="宋体"/>
        <family val="3"/>
        <charset val="134"/>
      </rPr>
      <t>姓名，联系电话</t>
    </r>
    <r>
      <rPr>
        <b/>
        <sz val="10"/>
        <rFont val="宋体"/>
        <family val="3"/>
        <charset val="134"/>
      </rPr>
      <t xml:space="preserve">
    感谢大家对电脑部工作的配合。</t>
    </r>
    <phoneticPr fontId="1" type="noConversion"/>
  </si>
  <si>
    <r>
      <t>本月退回的</t>
    </r>
    <r>
      <rPr>
        <b/>
        <sz val="10"/>
        <rFont val="Arial"/>
        <family val="2"/>
      </rPr>
      <t>ISR</t>
    </r>
    <r>
      <rPr>
        <b/>
        <sz val="10"/>
        <rFont val="宋体"/>
        <family val="3"/>
        <charset val="134"/>
      </rPr>
      <t>数量</t>
    </r>
    <phoneticPr fontId="1" type="noConversion"/>
  </si>
  <si>
    <t>二、带选择卡的邮件-操作指南</t>
    <phoneticPr fontId="1" type="noConversion"/>
  </si>
  <si>
    <r>
      <t>一）创建选项卡：</t>
    </r>
    <r>
      <rPr>
        <sz val="10"/>
        <rFont val="宋体"/>
        <family val="3"/>
        <charset val="134"/>
      </rPr>
      <t xml:space="preserve">
</t>
    </r>
    <r>
      <rPr>
        <sz val="10"/>
        <rFont val="Arial"/>
        <family val="2"/>
      </rPr>
      <t>1</t>
    </r>
    <r>
      <rPr>
        <sz val="10"/>
        <rFont val="宋体"/>
        <family val="3"/>
        <charset val="134"/>
      </rPr>
      <t>、新建邮件页面，依次选择</t>
    </r>
    <r>
      <rPr>
        <sz val="10"/>
        <rFont val="Arial"/>
        <family val="2"/>
      </rPr>
      <t xml:space="preserve"> </t>
    </r>
    <r>
      <rPr>
        <sz val="10"/>
        <color indexed="12"/>
        <rFont val="宋体"/>
        <family val="3"/>
        <charset val="134"/>
      </rPr>
      <t>创建</t>
    </r>
    <r>
      <rPr>
        <sz val="10"/>
        <rFont val="Arial"/>
        <family val="2"/>
      </rPr>
      <t xml:space="preserve"> </t>
    </r>
    <r>
      <rPr>
        <sz val="10"/>
        <rFont val="宋体"/>
        <family val="3"/>
        <charset val="134"/>
      </rPr>
      <t xml:space="preserve">-- </t>
    </r>
    <r>
      <rPr>
        <sz val="10"/>
        <color indexed="12"/>
        <rFont val="宋体"/>
        <family val="3"/>
        <charset val="134"/>
      </rPr>
      <t>表格</t>
    </r>
    <r>
      <rPr>
        <sz val="10"/>
        <rFont val="宋体"/>
        <family val="3"/>
        <charset val="134"/>
      </rPr>
      <t xml:space="preserve"> ，进入“创建表格”页面；
2、在“创建表格”页面，选择行数为1，列数为3，表格类型为 带选项卡的表格 ，并且“确定”；
</t>
    </r>
    <r>
      <rPr>
        <sz val="10"/>
        <color indexed="12"/>
        <rFont val="宋体"/>
        <family val="3"/>
        <charset val="134"/>
      </rPr>
      <t/>
    </r>
    <phoneticPr fontId="1" type="noConversion"/>
  </si>
  <si>
    <r>
      <t>二）选项卡标题：</t>
    </r>
    <r>
      <rPr>
        <sz val="10"/>
        <rFont val="宋体"/>
        <family val="3"/>
        <charset val="134"/>
      </rPr>
      <t xml:space="preserve">
</t>
    </r>
    <r>
      <rPr>
        <sz val="10"/>
        <rFont val="Arial"/>
        <family val="2"/>
      </rPr>
      <t>1</t>
    </r>
    <r>
      <rPr>
        <sz val="10"/>
        <rFont val="宋体"/>
        <family val="3"/>
        <charset val="134"/>
      </rPr>
      <t>、右键点击</t>
    </r>
    <r>
      <rPr>
        <sz val="10"/>
        <rFont val="Arial"/>
        <family val="2"/>
      </rPr>
      <t xml:space="preserve"> </t>
    </r>
    <r>
      <rPr>
        <sz val="10"/>
        <color indexed="12"/>
        <rFont val="宋体"/>
        <family val="3"/>
        <charset val="134"/>
      </rPr>
      <t>选择卡表头</t>
    </r>
    <r>
      <rPr>
        <sz val="10"/>
        <rFont val="Arial"/>
        <family val="2"/>
      </rPr>
      <t xml:space="preserve"> </t>
    </r>
    <r>
      <rPr>
        <sz val="10"/>
        <rFont val="宋体"/>
        <family val="3"/>
        <charset val="134"/>
      </rPr>
      <t>（如最上图选项卡填写填写</t>
    </r>
    <r>
      <rPr>
        <sz val="10"/>
        <rFont val="Arial"/>
        <family val="2"/>
      </rPr>
      <t>“</t>
    </r>
    <r>
      <rPr>
        <sz val="10"/>
        <rFont val="宋体"/>
        <family val="3"/>
        <charset val="134"/>
      </rPr>
      <t>冻结公告</t>
    </r>
    <r>
      <rPr>
        <sz val="10"/>
        <rFont val="Arial"/>
        <family val="2"/>
      </rPr>
      <t>”</t>
    </r>
    <r>
      <rPr>
        <sz val="10"/>
        <rFont val="宋体"/>
        <family val="3"/>
        <charset val="134"/>
      </rPr>
      <t>的位置），依次选择</t>
    </r>
    <r>
      <rPr>
        <sz val="10"/>
        <color indexed="12"/>
        <rFont val="Arial"/>
        <family val="2"/>
      </rPr>
      <t xml:space="preserve"> </t>
    </r>
    <r>
      <rPr>
        <sz val="10"/>
        <color indexed="12"/>
        <rFont val="宋体"/>
        <family val="3"/>
        <charset val="134"/>
      </rPr>
      <t>表格属性</t>
    </r>
    <r>
      <rPr>
        <sz val="10"/>
        <rFont val="Arial"/>
        <family val="2"/>
      </rPr>
      <t xml:space="preserve"> -- </t>
    </r>
    <r>
      <rPr>
        <sz val="10"/>
        <color indexed="12"/>
        <rFont val="宋体"/>
        <family val="3"/>
        <charset val="134"/>
      </rPr>
      <t>表格行</t>
    </r>
    <r>
      <rPr>
        <sz val="10"/>
        <color indexed="12"/>
        <rFont val="Arial"/>
        <family val="2"/>
      </rPr>
      <t xml:space="preserve"> </t>
    </r>
    <r>
      <rPr>
        <sz val="10"/>
        <color indexed="12"/>
        <rFont val="宋体"/>
        <family val="3"/>
        <charset val="134"/>
      </rPr>
      <t>选项卡</t>
    </r>
    <r>
      <rPr>
        <sz val="10"/>
        <rFont val="宋体"/>
        <family val="3"/>
        <charset val="134"/>
      </rPr>
      <t>，在</t>
    </r>
    <r>
      <rPr>
        <sz val="10"/>
        <rFont val="Arial"/>
        <family val="2"/>
      </rPr>
      <t xml:space="preserve"> </t>
    </r>
    <r>
      <rPr>
        <sz val="10"/>
        <rFont val="宋体"/>
        <family val="3"/>
        <charset val="134"/>
      </rPr>
      <t>附签标签和标题</t>
    </r>
    <r>
      <rPr>
        <sz val="10"/>
        <rFont val="Arial"/>
        <family val="2"/>
      </rPr>
      <t xml:space="preserve"> </t>
    </r>
    <r>
      <rPr>
        <sz val="10"/>
        <rFont val="宋体"/>
        <family val="3"/>
        <charset val="134"/>
      </rPr>
      <t>的空格填写标题；
2、选择卡的标题，从左到右依次为：冻结公告、待处理ISR清单、本月退回ISR清单。将整理好的需求排期表对应拷贝到选项卡即可。</t>
    </r>
    <phoneticPr fontId="1" type="noConversion"/>
  </si>
  <si>
    <t>XX产品V1.1.1</t>
  </si>
  <si>
    <r>
      <t>状态标志位说明：</t>
    </r>
    <r>
      <rPr>
        <sz val="10"/>
        <color indexed="12"/>
        <rFont val="宋体"/>
        <family val="3"/>
        <charset val="134"/>
      </rPr>
      <t xml:space="preserve">
待分析</t>
    </r>
    <r>
      <rPr>
        <sz val="10"/>
        <rFont val="宋体"/>
        <family val="3"/>
        <charset val="134"/>
      </rPr>
      <t xml:space="preserve">-开发需求分析阶段；
</t>
    </r>
    <r>
      <rPr>
        <sz val="10"/>
        <color indexed="12"/>
        <rFont val="宋体"/>
        <family val="3"/>
        <charset val="134"/>
      </rPr>
      <t>待排期</t>
    </r>
    <r>
      <rPr>
        <sz val="10"/>
        <rFont val="宋体"/>
        <family val="3"/>
        <charset val="134"/>
      </rPr>
      <t xml:space="preserve">-开发需求已被接受，等待纳入排期；
</t>
    </r>
    <r>
      <rPr>
        <sz val="10"/>
        <color indexed="12"/>
        <rFont val="宋体"/>
        <family val="3"/>
        <charset val="134"/>
      </rPr>
      <t>挂起1 -</t>
    </r>
    <r>
      <rPr>
        <sz val="10"/>
        <rFont val="宋体"/>
        <family val="3"/>
        <charset val="134"/>
      </rPr>
      <t xml:space="preserve">用户需求尚待确认；
</t>
    </r>
    <r>
      <rPr>
        <sz val="10"/>
        <color indexed="12"/>
        <rFont val="宋体"/>
        <family val="3"/>
        <charset val="134"/>
      </rPr>
      <t xml:space="preserve">挂起2 </t>
    </r>
    <r>
      <rPr>
        <sz val="10"/>
        <rFont val="宋体"/>
        <family val="3"/>
        <charset val="134"/>
      </rPr>
      <t>-需求评估时机未成熟；</t>
    </r>
    <phoneticPr fontId="1" type="noConversion"/>
  </si>
  <si>
    <t>XXX系统 待处理ISR清单</t>
    <phoneticPr fontId="1" type="noConversion"/>
  </si>
  <si>
    <t>申请人所属部门</t>
    <phoneticPr fontId="1" type="noConversion"/>
  </si>
  <si>
    <t>负责人</t>
    <phoneticPr fontId="1" type="noConversion"/>
  </si>
  <si>
    <t>申请人
所属部门</t>
    <phoneticPr fontId="1" type="noConversion"/>
  </si>
  <si>
    <t>提出人
所属部门</t>
    <phoneticPr fontId="1" type="noConversion"/>
  </si>
  <si>
    <r>
      <t xml:space="preserve">    各位同事，</t>
    </r>
    <r>
      <rPr>
        <b/>
        <sz val="10"/>
        <color indexed="12"/>
        <rFont val="宋体"/>
        <family val="3"/>
        <charset val="134"/>
      </rPr>
      <t>XXX</t>
    </r>
    <r>
      <rPr>
        <b/>
        <sz val="10"/>
        <rFont val="宋体"/>
        <family val="3"/>
        <charset val="134"/>
      </rPr>
      <t>系统</t>
    </r>
    <r>
      <rPr>
        <b/>
        <sz val="10"/>
        <color indexed="12"/>
        <rFont val="宋体"/>
        <family val="3"/>
        <charset val="134"/>
      </rPr>
      <t>XX</t>
    </r>
    <r>
      <rPr>
        <b/>
        <sz val="10"/>
        <rFont val="宋体"/>
        <family val="3"/>
        <charset val="134"/>
      </rPr>
      <t>月份的版本内容已确定，具体查看下文。 
    本版本将于</t>
    </r>
    <r>
      <rPr>
        <b/>
        <sz val="10"/>
        <color indexed="12"/>
        <rFont val="宋体"/>
        <family val="3"/>
        <charset val="134"/>
      </rPr>
      <t>XX</t>
    </r>
    <r>
      <rPr>
        <b/>
        <sz val="10"/>
        <rFont val="宋体"/>
        <family val="3"/>
        <charset val="134"/>
      </rPr>
      <t>月</t>
    </r>
    <r>
      <rPr>
        <b/>
        <sz val="10"/>
        <color indexed="12"/>
        <rFont val="宋体"/>
        <family val="3"/>
        <charset val="134"/>
      </rPr>
      <t>XX</t>
    </r>
    <r>
      <rPr>
        <b/>
        <sz val="10"/>
        <rFont val="宋体"/>
        <family val="3"/>
        <charset val="134"/>
      </rPr>
      <t>日上线，并于</t>
    </r>
    <r>
      <rPr>
        <b/>
        <sz val="10"/>
        <color indexed="30"/>
        <rFont val="宋体"/>
        <family val="3"/>
        <charset val="134"/>
      </rPr>
      <t>XX</t>
    </r>
    <r>
      <rPr>
        <b/>
        <sz val="10"/>
        <rFont val="宋体"/>
        <family val="3"/>
        <charset val="134"/>
      </rPr>
      <t>月</t>
    </r>
    <r>
      <rPr>
        <b/>
        <sz val="10"/>
        <color indexed="30"/>
        <rFont val="宋体"/>
        <family val="3"/>
        <charset val="134"/>
      </rPr>
      <t>XX</t>
    </r>
    <r>
      <rPr>
        <b/>
        <sz val="10"/>
        <rFont val="宋体"/>
        <family val="3"/>
        <charset val="134"/>
      </rPr>
      <t>日正式生效。请各ISR和问题单的提交人提早预留时间，在</t>
    </r>
    <r>
      <rPr>
        <b/>
        <sz val="10"/>
        <color indexed="12"/>
        <rFont val="宋体"/>
        <family val="3"/>
        <charset val="134"/>
      </rPr>
      <t>XX</t>
    </r>
    <r>
      <rPr>
        <b/>
        <sz val="10"/>
        <rFont val="宋体"/>
        <family val="3"/>
        <charset val="134"/>
      </rPr>
      <t>月</t>
    </r>
    <r>
      <rPr>
        <b/>
        <sz val="10"/>
        <color indexed="12"/>
        <rFont val="宋体"/>
        <family val="3"/>
        <charset val="134"/>
      </rPr>
      <t>XX</t>
    </r>
    <r>
      <rPr>
        <b/>
        <sz val="10"/>
        <rFont val="宋体"/>
        <family val="3"/>
        <charset val="134"/>
      </rPr>
      <t>日到</t>
    </r>
    <r>
      <rPr>
        <b/>
        <sz val="10"/>
        <color indexed="12"/>
        <rFont val="宋体"/>
        <family val="3"/>
        <charset val="134"/>
      </rPr>
      <t>XX</t>
    </r>
    <r>
      <rPr>
        <b/>
        <sz val="10"/>
        <rFont val="宋体"/>
        <family val="3"/>
        <charset val="134"/>
      </rPr>
      <t>月</t>
    </r>
    <r>
      <rPr>
        <b/>
        <sz val="10"/>
        <color indexed="12"/>
        <rFont val="宋体"/>
        <family val="3"/>
        <charset val="134"/>
      </rPr>
      <t>XX</t>
    </r>
    <r>
      <rPr>
        <b/>
        <sz val="10"/>
        <rFont val="宋体"/>
        <family val="3"/>
        <charset val="134"/>
      </rPr>
      <t xml:space="preserve">日期间对系统进行验收。对于没有及时验收的ISR和问题单，电脑部将不予以上线并对其重新进行排期开发。
    本公告代表版本中所涉及ISR的需求详细内容已经过业务分析员与ISR提出人的确认，电脑部已正式受理该版本中的ISR和问题单，按其描述的内容进行开发，并承诺按计划上线时间交付系统。在收到本公告到版本上线期间，如果ISR的内容需要进行任何变更（包括修改需求，推迟上线时间，提前实施，取消ISR的处理等），请ISR提出人与系统对应的业务分析员进行沟通，确认变更可行后，ISR提出人通过邮件提交用户部门总监和电脑部总监进行审批。
 </t>
    </r>
    <r>
      <rPr>
        <b/>
        <sz val="10"/>
        <color indexed="10"/>
        <rFont val="宋体"/>
        <family val="3"/>
        <charset val="134"/>
      </rPr>
      <t xml:space="preserve">   挂起原因为“用户需求尚未确认”的ISR，若状态发生变化，请用户主动联系业务分析员。</t>
    </r>
    <r>
      <rPr>
        <b/>
        <sz val="10"/>
        <rFont val="宋体"/>
        <family val="3"/>
        <charset val="134"/>
      </rPr>
      <t xml:space="preserve">
    业务分析员联系方式：</t>
    </r>
    <r>
      <rPr>
        <b/>
        <sz val="10"/>
        <color indexed="12"/>
        <rFont val="宋体"/>
        <family val="3"/>
        <charset val="134"/>
      </rPr>
      <t>姓名，联系电话</t>
    </r>
    <r>
      <rPr>
        <b/>
        <sz val="10"/>
        <rFont val="宋体"/>
        <family val="3"/>
        <charset val="134"/>
      </rPr>
      <t xml:space="preserve">
    感谢大家对电脑部工作的配合。</t>
    </r>
    <phoneticPr fontId="1" type="noConversion"/>
  </si>
  <si>
    <t>系统需求</t>
    <phoneticPr fontId="1" type="noConversion"/>
  </si>
  <si>
    <t>申请人</t>
    <phoneticPr fontId="1" type="noConversion"/>
  </si>
  <si>
    <t>用户期望完成时间</t>
    <phoneticPr fontId="1" type="noConversion"/>
  </si>
  <si>
    <t>是否进行了需求变更</t>
    <phoneticPr fontId="1" type="noConversion"/>
  </si>
  <si>
    <t>优先级别</t>
    <phoneticPr fontId="1" type="noConversion"/>
  </si>
  <si>
    <t>受影响的关联系统</t>
    <phoneticPr fontId="1" type="noConversion"/>
  </si>
  <si>
    <t>功能点数</t>
    <phoneticPr fontId="1" type="noConversion"/>
  </si>
  <si>
    <t>总工作量（人天）</t>
    <phoneticPr fontId="1" type="noConversion"/>
  </si>
  <si>
    <t>纳入版本</t>
    <phoneticPr fontId="1" type="noConversion"/>
  </si>
  <si>
    <t>SA</t>
    <phoneticPr fontId="1" type="noConversion"/>
  </si>
  <si>
    <t>编码人员</t>
    <phoneticPr fontId="1" type="noConversion"/>
  </si>
  <si>
    <t>备注</t>
    <phoneticPr fontId="1" type="noConversion"/>
  </si>
  <si>
    <t>发现版本</t>
    <phoneticPr fontId="1" type="noConversion"/>
  </si>
  <si>
    <t>提交人</t>
    <phoneticPr fontId="1" type="noConversion"/>
  </si>
  <si>
    <t>期望解决时间</t>
    <phoneticPr fontId="1" type="noConversion"/>
  </si>
  <si>
    <t>状态</t>
    <phoneticPr fontId="1" type="noConversion"/>
  </si>
  <si>
    <t>优先级别</t>
    <phoneticPr fontId="1" type="noConversion"/>
  </si>
  <si>
    <t>受影响的关联系统</t>
    <phoneticPr fontId="1" type="noConversion"/>
  </si>
  <si>
    <t>编码人员</t>
    <phoneticPr fontId="1" type="noConversion"/>
  </si>
  <si>
    <t>备注</t>
    <phoneticPr fontId="1" type="noConversion"/>
  </si>
  <si>
    <t>申请人
所属部门</t>
    <phoneticPr fontId="1" type="noConversion"/>
  </si>
  <si>
    <t>需求状态</t>
    <phoneticPr fontId="1" type="noConversion"/>
  </si>
  <si>
    <t>变更记录</t>
    <phoneticPr fontId="36" type="noConversion"/>
  </si>
  <si>
    <t>提出日期</t>
    <phoneticPr fontId="36" type="noConversion"/>
  </si>
  <si>
    <t>提出方</t>
    <phoneticPr fontId="36" type="noConversion"/>
  </si>
  <si>
    <t>变更内容</t>
    <phoneticPr fontId="36" type="noConversion"/>
  </si>
  <si>
    <t>审批记录</t>
    <phoneticPr fontId="36" type="noConversion"/>
  </si>
  <si>
    <t>审批人（角色）</t>
    <phoneticPr fontId="36" type="noConversion"/>
  </si>
  <si>
    <t>审批人（名字）</t>
    <phoneticPr fontId="36" type="noConversion"/>
  </si>
  <si>
    <t>审批意见</t>
    <phoneticPr fontId="36" type="noConversion"/>
  </si>
  <si>
    <t>用户代表</t>
    <phoneticPr fontId="36" type="noConversion"/>
  </si>
  <si>
    <t>Team Leader</t>
    <phoneticPr fontId="36" type="noConversion"/>
  </si>
  <si>
    <t>QC</t>
    <phoneticPr fontId="36" type="noConversion"/>
  </si>
  <si>
    <t>关联系统负责人</t>
    <phoneticPr fontId="36" type="noConversion"/>
  </si>
  <si>
    <t>其他</t>
    <phoneticPr fontId="36" type="noConversion"/>
  </si>
  <si>
    <t>粘贴更新后的版本冻结公告</t>
    <phoneticPr fontId="36" type="noConversion"/>
  </si>
  <si>
    <t>冻结公告发送对象：</t>
    <phoneticPr fontId="36" type="noConversion"/>
  </si>
  <si>
    <t xml:space="preserve">   一）冻结公告邮件使用选项卡展现冻结公告，待处理ISR清单，本月退回ISR清单。参照以下邮件标题。冻结公告的内容显示在首层。</t>
    <phoneticPr fontId="1" type="noConversion"/>
  </si>
  <si>
    <t xml:space="preserve">一、冻结公告/冻结公告（变更）邮件概览
</t>
    <phoneticPr fontId="1" type="noConversion"/>
  </si>
  <si>
    <t xml:space="preserve">    二）冻结公告（变更）邮件模块。</t>
    <phoneticPr fontId="1" type="noConversion"/>
  </si>
  <si>
    <r>
      <t>PS</t>
    </r>
    <r>
      <rPr>
        <sz val="10"/>
        <rFont val="宋体"/>
        <family val="3"/>
        <charset val="134"/>
      </rPr>
      <t>：参考邮件规范及操作指引</t>
    </r>
    <phoneticPr fontId="36" type="noConversion"/>
  </si>
  <si>
    <t>评审记录</t>
    <phoneticPr fontId="36" type="noConversion"/>
  </si>
  <si>
    <t>变更原因及内容</t>
    <phoneticPr fontId="36" type="noConversion"/>
  </si>
  <si>
    <r>
      <t>本次版本中ISR对应提交人，ISR对应提交人上司（总监级），问题单提交人，该产品线的全部用户代表，产品线成员，SQA，测试设计人员，测试管理员，应用系统管理员，AST Leader（Echo Wu），配置管理员，Servicedesk邮箱，ITSC（Aaron Huang），安全专家、服务器组、网络组、</t>
    </r>
    <r>
      <rPr>
        <sz val="10"/>
        <color indexed="10"/>
        <rFont val="宋体"/>
        <family val="3"/>
        <charset val="134"/>
      </rPr>
      <t>DC Leader（Henry Wang）</t>
    </r>
    <r>
      <rPr>
        <sz val="10"/>
        <rFont val="宋体"/>
        <family val="3"/>
        <charset val="134"/>
      </rPr>
      <t>，DataCenter（Ellen Fan，Kevin Pan, Tracy Yu，</t>
    </r>
    <r>
      <rPr>
        <sz val="10"/>
        <color indexed="10"/>
        <rFont val="宋体"/>
        <family val="3"/>
        <charset val="134"/>
      </rPr>
      <t>Narwhat Guan</t>
    </r>
    <r>
      <rPr>
        <sz val="10"/>
        <rFont val="宋体"/>
        <family val="3"/>
        <charset val="134"/>
      </rPr>
      <t>），关联/辅改系统负责人，开发团队Leaders（Wilson wen，Michel Chen，Ray Kwong），系统开发总监（Paul Lam）</t>
    </r>
    <phoneticPr fontId="36" type="noConversion"/>
  </si>
  <si>
    <t>本次版本中ISR对应提交人，ISR对应提交人上司（总监级），问题单提交人，该产品线的全部用户代表，产品线成员，SQA，测试设计人员，测试管理员，应用系统管理员，AST Leader（Echo Wu），配置管理员，Servicedesk邮箱，ITSC（Aaron Huang），安全专家、服务器组、网络组、DC Leader（Henry Wang），DataCenter（Ellen Fan，Kevin Pan, Tracy Yu，Narwhat Guan），关联/辅改系统负责人，开发团队Leaders（Michel Chen，Ray Kwong），系统开发总监（Paul Lam），SQA Leader（Jonathan Hsieh）</t>
    <phoneticPr fontId="36" type="noConversion"/>
  </si>
  <si>
    <t>待排期的ISR数量</t>
    <phoneticPr fontId="43" type="noConversion"/>
  </si>
  <si>
    <t>已挂起的ISR数量</t>
    <phoneticPr fontId="43" type="noConversion"/>
  </si>
  <si>
    <r>
      <t>本月退回的</t>
    </r>
    <r>
      <rPr>
        <b/>
        <sz val="10"/>
        <rFont val="Arial"/>
        <family val="2"/>
      </rPr>
      <t>ISR</t>
    </r>
    <r>
      <rPr>
        <b/>
        <sz val="10"/>
        <rFont val="宋体"/>
        <family val="3"/>
        <charset val="134"/>
      </rPr>
      <t>数量</t>
    </r>
    <phoneticPr fontId="43" type="noConversion"/>
  </si>
  <si>
    <t>版本总体计划：</t>
    <phoneticPr fontId="1" type="noConversion"/>
  </si>
  <si>
    <t>版本包含的问题单：</t>
    <phoneticPr fontId="1" type="noConversion"/>
  </si>
  <si>
    <t>缺陷及问题单编号</t>
    <phoneticPr fontId="1" type="noConversion"/>
  </si>
  <si>
    <t>申请人</t>
    <phoneticPr fontId="1" type="noConversion"/>
  </si>
  <si>
    <t>受影响的关联系统</t>
    <phoneticPr fontId="1" type="noConversion"/>
  </si>
  <si>
    <t>待分析的ISR数量</t>
    <phoneticPr fontId="43" type="noConversion"/>
  </si>
  <si>
    <t>本次版本中ISR对应提交人，ISR对应提交人上司（总监级），问题单提交人，该产品线的全部用户代表，产品线成员，SQA，测试设计人员，测试管理员，应用系统管理员，AST Leader（Leo Li），Servicedesk邮箱，ITSC（Janice Huang），安全组Leader( Holly He )、服务器组Leader( James Zhan )、网络组Leader( Keen Kong )、DC Leader（Henry Wang），部署组（Kelvin Pan），关联/辅改系统负责人，开发团队Leaders（Michel Chen，Ray Kwong），系统开发总监（Paul Lam），SQA Leader（Holly He）</t>
    <phoneticPr fontId="1" type="noConversion"/>
  </si>
  <si>
    <t>Ivy</t>
    <phoneticPr fontId="1" type="noConversion"/>
  </si>
  <si>
    <t>DEST</t>
    <phoneticPr fontId="1" type="noConversion"/>
  </si>
  <si>
    <t>总工作量（费用）</t>
    <phoneticPr fontId="1" type="noConversion"/>
  </si>
  <si>
    <r>
      <rPr>
        <sz val="10"/>
        <color indexed="12"/>
        <rFont val="宋体"/>
        <family val="3"/>
        <charset val="134"/>
      </rPr>
      <t>安利海外购</t>
    </r>
    <r>
      <rPr>
        <sz val="10"/>
        <color indexed="12"/>
        <rFont val="Arial"/>
        <family val="2"/>
      </rPr>
      <t>v1.16.0</t>
    </r>
    <phoneticPr fontId="1" type="noConversion"/>
  </si>
  <si>
    <r>
      <rPr>
        <sz val="10"/>
        <color indexed="12"/>
        <rFont val="宋体"/>
        <family val="3"/>
        <charset val="134"/>
      </rPr>
      <t>安利海外购</t>
    </r>
    <r>
      <rPr>
        <sz val="10"/>
        <color indexed="12"/>
        <rFont val="Arial"/>
        <family val="2"/>
      </rPr>
      <t>v1.17.0</t>
    </r>
    <phoneticPr fontId="1" type="noConversion"/>
  </si>
  <si>
    <r>
      <rPr>
        <sz val="10"/>
        <color indexed="12"/>
        <rFont val="宋体"/>
        <family val="3"/>
        <charset val="134"/>
      </rPr>
      <t>安利海外购</t>
    </r>
    <r>
      <rPr>
        <sz val="10"/>
        <color indexed="12"/>
        <rFont val="Arial"/>
        <family val="2"/>
      </rPr>
      <t>v1.18.0</t>
    </r>
    <phoneticPr fontId="1" type="noConversion"/>
  </si>
  <si>
    <t>由于海外购部分产品经常出现供不应求的情况，为提升顾客的购货体验，申请在海外购官网增加显示缺货功能。</t>
    <phoneticPr fontId="1" type="noConversion"/>
  </si>
  <si>
    <t>Xionghui Ma</t>
  </si>
  <si>
    <t>Xionghui Ma</t>
    <phoneticPr fontId="1" type="noConversion"/>
  </si>
  <si>
    <t>LC</t>
  </si>
  <si>
    <t>LC</t>
    <phoneticPr fontId="1" type="noConversion"/>
  </si>
  <si>
    <t>ISR2017051701107A</t>
  </si>
  <si>
    <t>ISR2017051701107A</t>
    <phoneticPr fontId="1" type="noConversion"/>
  </si>
  <si>
    <t>ISR000000295795</t>
    <phoneticPr fontId="1" type="noConversion"/>
  </si>
  <si>
    <t>安利海外购v1.17.0</t>
  </si>
  <si>
    <t>已开发，仅包含联调</t>
    <phoneticPr fontId="1" type="noConversion"/>
  </si>
  <si>
    <t>York Yang</t>
    <phoneticPr fontId="1" type="noConversion"/>
  </si>
  <si>
    <t>ISR2017060200154</t>
    <phoneticPr fontId="1" type="noConversion"/>
  </si>
  <si>
    <t>海外购增加跳转ACCL Hybris</t>
    <phoneticPr fontId="1" type="noConversion"/>
  </si>
  <si>
    <t>已排期</t>
  </si>
  <si>
    <t>ISR2017060200154</t>
  </si>
  <si>
    <t>海外购增加跳转ACCL Hybris</t>
  </si>
  <si>
    <t>Ivy</t>
  </si>
  <si>
    <t>DEST</t>
  </si>
  <si>
    <t>安利海外购系统 6月份版本冻结公告</t>
    <phoneticPr fontId="1" type="noConversion"/>
  </si>
  <si>
    <t>5G POS</t>
  </si>
  <si>
    <t>V3.6.0</t>
  </si>
  <si>
    <t>Eagle Wang</t>
  </si>
  <si>
    <t>安利易联网</t>
    <phoneticPr fontId="46" type="noConversion"/>
  </si>
  <si>
    <t>V3.75.0</t>
    <phoneticPr fontId="46" type="noConversion"/>
  </si>
  <si>
    <t>Kerust Feng</t>
    <phoneticPr fontId="46" type="noConversion"/>
  </si>
  <si>
    <t>ISR编号</t>
  </si>
  <si>
    <t>受影响的关联系统</t>
  </si>
  <si>
    <t>申请人
所属部门</t>
    <phoneticPr fontId="46" type="noConversion"/>
  </si>
  <si>
    <t>由于海外购部分产品经常出现供不应求的情况，为提升顾客的购货体验，申请在海外购官网增加显示缺货功能。</t>
    <phoneticPr fontId="46" type="noConversion"/>
  </si>
  <si>
    <r>
      <t>各位同事，本版本将于6月22日上线，并于6月23日正式生效。请各ISR和问题单的提交人提早预留时间，在6月19日到6月21日期间对系统进行验收。对于没有及时验收的ISR和问题单，电脑部将不予以上线并对其重新进行排期开发。
在收到本公告到版本上线期间，如果ISR的内容需要进行任何变更（包括修改需求，推迟上线时间，提前实施，取消ISR的处理等），请ISR提出人与系统对应的业务分析员进行沟通，确认变更可行后，</t>
    </r>
    <r>
      <rPr>
        <sz val="9"/>
        <color indexed="10"/>
        <rFont val="微软雅黑"/>
        <family val="2"/>
        <charset val="134"/>
      </rPr>
      <t>ISR提出人通过邮件提交用户部门总监和电脑部总监进行审批。</t>
    </r>
    <r>
      <rPr>
        <sz val="9"/>
        <rFont val="微软雅黑"/>
        <family val="2"/>
        <charset val="134"/>
      </rPr>
      <t xml:space="preserve">
挂起原因为“用户需求尚未确认”的ISR，若状态发生变化，请用户主动联系业务分析员。
业务分析员联系方式：</t>
    </r>
    <r>
      <rPr>
        <sz val="9"/>
        <color indexed="10"/>
        <rFont val="微软雅黑"/>
        <family val="2"/>
        <charset val="134"/>
      </rPr>
      <t>Kerust Feng</t>
    </r>
    <r>
      <rPr>
        <sz val="9"/>
        <color indexed="10"/>
        <rFont val="微软雅黑"/>
        <family val="2"/>
        <charset val="134"/>
      </rPr>
      <t>，</t>
    </r>
    <r>
      <rPr>
        <sz val="9"/>
        <color indexed="10"/>
        <rFont val="微软雅黑"/>
        <family val="2"/>
        <charset val="134"/>
      </rPr>
      <t>85198350</t>
    </r>
    <r>
      <rPr>
        <sz val="9"/>
        <rFont val="微软雅黑"/>
        <family val="2"/>
        <charset val="134"/>
      </rPr>
      <t xml:space="preserve">
感谢大家对电脑部工作的配合。</t>
    </r>
    <phoneticPr fontId="1" type="noConversion"/>
  </si>
  <si>
    <t>安利海外购v1.18.0</t>
  </si>
  <si>
    <t>安利海外购系统 8月份版本冻结公告</t>
    <phoneticPr fontId="1" type="noConversion"/>
  </si>
  <si>
    <r>
      <t>各位同事，本版本将于8月10日上线，并于8月11日正式生效。请各ISR和问题单的提交人提早预留时间，在8月7日到8月9日期间对系统进行验收。对于没有及时验收的ISR和问题单，电脑部将不予以上线并对其重新进行排期开发。
在收到本公告到版本上线期间，如果ISR的内容需要进行任何变更（包括修改需求，推迟上线时间，提前实施，取消ISR的处理等），请ISR提出人与系统对应的业务分析员进行沟通，确认变更可行后，</t>
    </r>
    <r>
      <rPr>
        <sz val="9"/>
        <color indexed="10"/>
        <rFont val="微软雅黑"/>
        <family val="2"/>
        <charset val="134"/>
      </rPr>
      <t>ISR提出人通过邮件提交用户部门总监和电脑部总监进行审批。</t>
    </r>
    <r>
      <rPr>
        <sz val="9"/>
        <rFont val="微软雅黑"/>
        <family val="2"/>
        <charset val="134"/>
      </rPr>
      <t xml:space="preserve">
挂起原因为“用户需求尚未确认”的ISR，若状态发生变化，请用户主动联系业务分析员。
业务分析员联系方式：</t>
    </r>
    <r>
      <rPr>
        <sz val="9"/>
        <color indexed="10"/>
        <rFont val="微软雅黑"/>
        <family val="2"/>
        <charset val="134"/>
      </rPr>
      <t>Kerust Feng</t>
    </r>
    <r>
      <rPr>
        <sz val="9"/>
        <color indexed="10"/>
        <rFont val="微软雅黑"/>
        <family val="2"/>
        <charset val="134"/>
      </rPr>
      <t>，</t>
    </r>
    <r>
      <rPr>
        <sz val="9"/>
        <color indexed="10"/>
        <rFont val="微软雅黑"/>
        <family val="2"/>
        <charset val="134"/>
      </rPr>
      <t>85198350</t>
    </r>
    <r>
      <rPr>
        <sz val="9"/>
        <rFont val="微软雅黑"/>
        <family val="2"/>
        <charset val="134"/>
      </rPr>
      <t xml:space="preserve">
感谢大家对电脑部工作的配合。</t>
    </r>
    <phoneticPr fontId="1" type="noConversion"/>
  </si>
  <si>
    <t>REQ0041002</t>
  </si>
  <si>
    <t>REQ0041002</t>
    <phoneticPr fontId="1" type="noConversion"/>
  </si>
  <si>
    <r>
      <rPr>
        <sz val="10"/>
        <color indexed="12"/>
        <rFont val="宋体"/>
        <family val="3"/>
        <charset val="134"/>
      </rPr>
      <t>安利海外购</t>
    </r>
    <r>
      <rPr>
        <sz val="10"/>
        <color indexed="12"/>
        <rFont val="Arial"/>
        <family val="2"/>
      </rPr>
      <t>v1.19.0</t>
    </r>
    <phoneticPr fontId="1" type="noConversion"/>
  </si>
  <si>
    <r>
      <rPr>
        <sz val="10"/>
        <color indexed="12"/>
        <rFont val="宋体"/>
        <family val="3"/>
        <charset val="134"/>
      </rPr>
      <t>安利海外购</t>
    </r>
    <r>
      <rPr>
        <sz val="10"/>
        <color indexed="12"/>
        <rFont val="Arial"/>
        <family val="2"/>
      </rPr>
      <t>v1.20.0</t>
    </r>
    <phoneticPr fontId="1" type="noConversion"/>
  </si>
  <si>
    <r>
      <rPr>
        <sz val="10"/>
        <color indexed="12"/>
        <rFont val="宋体"/>
        <family val="3"/>
        <charset val="134"/>
      </rPr>
      <t>安利海外购</t>
    </r>
    <r>
      <rPr>
        <sz val="10"/>
        <color indexed="12"/>
        <rFont val="Arial"/>
        <family val="2"/>
      </rPr>
      <t>v1.21.0</t>
    </r>
    <phoneticPr fontId="1" type="noConversion"/>
  </si>
  <si>
    <t>安利海外购v1.19.0</t>
  </si>
  <si>
    <t>海外购网站所有页面均需要修改分享链接（包含：首页，PLP，PDP，订单管理，个人中心，帮助中心），其中除PDP页面显示产品名称、功能描述和产品图片，其他页面显示的名称，文字描述和图片保持一致不做区分，分享文字和图片需设置为可配置修改形式。</t>
  </si>
  <si>
    <r>
      <t>各位同事，本版本将于11月13日上线，并于11月14日正式生效。请各ISR和问题单的提交人提早预留时间，在11月8日到11月10日期间对系统进行验收。对于没有及时验收的ISR和问题单，电脑部将不予以上线并对其重新进行排期开发。
在收到本公告到版本上线期间，如果ISR的内容需要进行任何变更（包括修改需求，推迟上线时间，提前实施，取消ISR的处理等），请ISR提出人与系统对应的业务分析员进行沟通，确认变更可行后，</t>
    </r>
    <r>
      <rPr>
        <sz val="9"/>
        <color indexed="10"/>
        <rFont val="微软雅黑"/>
        <family val="2"/>
        <charset val="134"/>
      </rPr>
      <t>ISR提出人通过邮件提交用户部门总监和电脑部总监进行审批。</t>
    </r>
    <r>
      <rPr>
        <sz val="9"/>
        <rFont val="微软雅黑"/>
        <family val="2"/>
        <charset val="134"/>
      </rPr>
      <t xml:space="preserve">
挂起原因为“用户需求尚未确认”的ISR，若状态发生变化，请用户主动联系业务分析员。
业务分析员联系方式：</t>
    </r>
    <r>
      <rPr>
        <sz val="9"/>
        <color indexed="10"/>
        <rFont val="微软雅黑"/>
        <family val="2"/>
        <charset val="134"/>
      </rPr>
      <t>Kerust Feng</t>
    </r>
    <r>
      <rPr>
        <sz val="9"/>
        <color indexed="10"/>
        <rFont val="微软雅黑"/>
        <family val="2"/>
        <charset val="134"/>
      </rPr>
      <t>，</t>
    </r>
    <r>
      <rPr>
        <sz val="9"/>
        <color indexed="10"/>
        <rFont val="微软雅黑"/>
        <family val="2"/>
        <charset val="134"/>
      </rPr>
      <t>85198350</t>
    </r>
    <r>
      <rPr>
        <sz val="9"/>
        <rFont val="微软雅黑"/>
        <family val="2"/>
        <charset val="134"/>
      </rPr>
      <t xml:space="preserve">
感谢大家对电脑部工作的配合。</t>
    </r>
    <phoneticPr fontId="1" type="noConversion"/>
  </si>
  <si>
    <t>安利海外购系统 11月份版本冻结公告</t>
    <phoneticPr fontId="1" type="noConversion"/>
  </si>
  <si>
    <t>REQ0067429</t>
  </si>
  <si>
    <t>REQ0067429</t>
    <phoneticPr fontId="1" type="noConversion"/>
  </si>
  <si>
    <r>
      <rPr>
        <sz val="10"/>
        <color indexed="12"/>
        <rFont val="宋体"/>
        <family val="3"/>
        <charset val="134"/>
      </rPr>
      <t>安利海外购</t>
    </r>
    <r>
      <rPr>
        <sz val="10"/>
        <color indexed="12"/>
        <rFont val="Arial"/>
        <family val="2"/>
      </rPr>
      <t>v1.22.0</t>
    </r>
    <phoneticPr fontId="1" type="noConversion"/>
  </si>
  <si>
    <t>安利海外购v1.22.0</t>
  </si>
  <si>
    <t>Alex Wang</t>
    <phoneticPr fontId="1" type="noConversion"/>
  </si>
  <si>
    <t xml:space="preserve">1.产品推荐的需求可配置所以产品包括ACCL产品和海外购产品；
2.云服务进入海外购订单的结算页面默认“银联在线支付”； 
</t>
  </si>
  <si>
    <t>本次版本中ISR对应提交人，ISR对应提交人上司（总监级），问题单提交人，该产品线的全部用户代表，产品线成员，SQA，测试设计人员，测试管理员，应用系统管理员，AST Leader（Leo Li），Servicedesk邮箱，ITSC（Janice Huang），安全组Leader( Holly He )、服务器组Leader( James Zhan )、网络组Leader( Keen Kong )、DC Leader（Henry Wang），部署组（Kelvin Pan），关联/辅改系统负责人，开发团队Leaders（Michel Chen，Ray Kwong），基础设施总监（Paul Lam），SQA Leader（Holly He）</t>
    <phoneticPr fontId="1" type="noConversion"/>
  </si>
  <si>
    <t>安利海外购系统 3月份版本冻结公告</t>
    <phoneticPr fontId="1" type="noConversion"/>
  </si>
  <si>
    <r>
      <t>各位同事，本版本将于3月15日上线，并于3月15日正式生效。请各ISR和问题单的提交人提早预留时间，在3月13日到3月14日期间对系统进行验收。对于没有及时验收的ISR和问题单，电脑部将不予以上线并对其重新进行排期开发。
在收到本公告到版本上线期间，如果ISR的内容需要进行任何变更（包括修改需求，推迟上线时间，提前实施，取消ISR的处理等），请ISR提出人与系统对应的业务分析员进行沟通，确认变更可行后，</t>
    </r>
    <r>
      <rPr>
        <sz val="9"/>
        <color indexed="10"/>
        <rFont val="微软雅黑"/>
        <family val="2"/>
        <charset val="134"/>
      </rPr>
      <t>ISR提出人通过邮件提交用户部门总监和电脑部总监进行审批。</t>
    </r>
    <r>
      <rPr>
        <sz val="9"/>
        <rFont val="微软雅黑"/>
        <family val="2"/>
        <charset val="134"/>
      </rPr>
      <t xml:space="preserve">
挂起原因为“用户需求尚未确认”的ISR，若状态发生变化，请用户主动联系业务分析员。
业务分析员联系方式：</t>
    </r>
    <r>
      <rPr>
        <sz val="9"/>
        <color indexed="10"/>
        <rFont val="微软雅黑"/>
        <family val="2"/>
        <charset val="134"/>
      </rPr>
      <t>Kerust Feng</t>
    </r>
    <r>
      <rPr>
        <sz val="9"/>
        <color indexed="10"/>
        <rFont val="微软雅黑"/>
        <family val="2"/>
        <charset val="134"/>
      </rPr>
      <t>，</t>
    </r>
    <r>
      <rPr>
        <sz val="9"/>
        <color indexed="10"/>
        <rFont val="微软雅黑"/>
        <family val="2"/>
        <charset val="134"/>
      </rPr>
      <t>85198350</t>
    </r>
    <r>
      <rPr>
        <sz val="9"/>
        <rFont val="微软雅黑"/>
        <family val="2"/>
        <charset val="134"/>
      </rPr>
      <t xml:space="preserve">
感谢大家对电脑部工作的配合。</t>
    </r>
    <phoneticPr fontId="1" type="noConversion"/>
  </si>
  <si>
    <t>REQ0087488</t>
    <phoneticPr fontId="1" type="noConversion"/>
  </si>
  <si>
    <t>Anthony</t>
    <phoneticPr fontId="1" type="noConversion"/>
  </si>
  <si>
    <t>海外购性能优化，登陆接口及消息中心优化</t>
    <phoneticPr fontId="1" type="noConversion"/>
  </si>
  <si>
    <t>海外购Tomcat补丁</t>
    <phoneticPr fontId="1" type="noConversion"/>
  </si>
  <si>
    <t>海外购支付宝支付实名认证</t>
    <phoneticPr fontId="1" type="noConversion"/>
  </si>
  <si>
    <t>ISD</t>
    <phoneticPr fontId="1" type="noConversion"/>
  </si>
  <si>
    <t>Erica</t>
    <phoneticPr fontId="1" type="noConversion"/>
  </si>
  <si>
    <t>海外购配额问题优化</t>
    <phoneticPr fontId="1" type="noConversion"/>
  </si>
  <si>
    <t>Konwood</t>
    <phoneticPr fontId="1" type="noConversion"/>
  </si>
  <si>
    <t>跨境电商税率调整</t>
    <phoneticPr fontId="1" type="noConversion"/>
  </si>
  <si>
    <r>
      <rPr>
        <sz val="10"/>
        <color indexed="12"/>
        <rFont val="宋体"/>
        <family val="3"/>
        <charset val="134"/>
      </rPr>
      <t>安利海外购</t>
    </r>
    <r>
      <rPr>
        <sz val="10"/>
        <color indexed="12"/>
        <rFont val="Arial"/>
        <family val="2"/>
      </rPr>
      <t>v1.23.0</t>
    </r>
    <phoneticPr fontId="1" type="noConversion"/>
  </si>
  <si>
    <t>安利海外购v1.23.0</t>
  </si>
  <si>
    <t>REQ0087488</t>
  </si>
  <si>
    <t>海外购性能优化，登陆接口及消息中心优化</t>
  </si>
  <si>
    <t>Anthony</t>
  </si>
  <si>
    <t>海外购配额问题优化</t>
  </si>
  <si>
    <t>Konwood</t>
  </si>
  <si>
    <t>ISD</t>
  </si>
  <si>
    <t>海外购Tomcat补丁</t>
  </si>
  <si>
    <t>Erica</t>
  </si>
  <si>
    <t>海外购支付宝支付实名认证</t>
  </si>
  <si>
    <t>Leo Li</t>
  </si>
  <si>
    <t>跨境电商税率调整</t>
  </si>
  <si>
    <t>Pending</t>
  </si>
  <si>
    <t>Pending</t>
    <phoneticPr fontId="1" type="noConversion"/>
  </si>
  <si>
    <r>
      <t>各位同事，本版本将于4月25日上线，并于4月26日正式生效。请各ISR和问题单的提交人提早预留时间，在4月20日到4月24日期间对系统进行验收。对于没有及时验收的ISR和问题单，电脑部将不予以上线并对其重新进行排期开发。
在收到本公告到版本上线期间，如果ISR的内容需要进行任何变更（包括修改需求，推迟上线时间，提前实施，取消ISR的处理等），请ISR提出人与系统对应的业务分析员进行沟通，确认变更可行后，</t>
    </r>
    <r>
      <rPr>
        <sz val="9"/>
        <color indexed="10"/>
        <rFont val="微软雅黑"/>
        <family val="2"/>
        <charset val="134"/>
      </rPr>
      <t>ISR提出人通过邮件提交用户部门总监和电脑部总监进行审批。</t>
    </r>
    <r>
      <rPr>
        <sz val="9"/>
        <rFont val="微软雅黑"/>
        <family val="2"/>
        <charset val="134"/>
      </rPr>
      <t xml:space="preserve">
挂起原因为“用户需求尚未确认”的ISR，若状态发生变化，请用户主动联系业务分析员。
业务分析员联系方式：</t>
    </r>
    <r>
      <rPr>
        <sz val="9"/>
        <color indexed="10"/>
        <rFont val="微软雅黑"/>
        <family val="2"/>
        <charset val="134"/>
      </rPr>
      <t>Kerust Feng</t>
    </r>
    <r>
      <rPr>
        <sz val="9"/>
        <color indexed="10"/>
        <rFont val="微软雅黑"/>
        <family val="2"/>
        <charset val="134"/>
      </rPr>
      <t>，</t>
    </r>
    <r>
      <rPr>
        <sz val="9"/>
        <color indexed="10"/>
        <rFont val="微软雅黑"/>
        <family val="2"/>
        <charset val="134"/>
      </rPr>
      <t>85198350</t>
    </r>
    <r>
      <rPr>
        <sz val="9"/>
        <rFont val="微软雅黑"/>
        <family val="2"/>
        <charset val="134"/>
      </rPr>
      <t xml:space="preserve">
感谢大家对电脑部工作的配合。</t>
    </r>
    <phoneticPr fontId="1" type="noConversion"/>
  </si>
  <si>
    <t>安利海外购系统 4月份版本冻结公告</t>
    <phoneticPr fontId="1" type="noConversion"/>
  </si>
  <si>
    <r>
      <rPr>
        <sz val="10"/>
        <color indexed="12"/>
        <rFont val="宋体"/>
        <family val="3"/>
        <charset val="134"/>
      </rPr>
      <t>安利海外购</t>
    </r>
    <r>
      <rPr>
        <sz val="10"/>
        <color indexed="12"/>
        <rFont val="Arial"/>
        <family val="2"/>
      </rPr>
      <t>v1.24.0</t>
    </r>
    <phoneticPr fontId="1" type="noConversion"/>
  </si>
  <si>
    <t>安利海外购v1.24.0</t>
  </si>
  <si>
    <t>York</t>
    <phoneticPr fontId="1" type="noConversion"/>
  </si>
  <si>
    <t>无法正确输入姓名问题</t>
    <phoneticPr fontId="1" type="noConversion"/>
  </si>
  <si>
    <t>微信，AA工作室跳转海外购问题</t>
    <phoneticPr fontId="1" type="noConversion"/>
  </si>
  <si>
    <t>pending</t>
    <phoneticPr fontId="1" type="noConversion"/>
  </si>
  <si>
    <t>AHK Amanet系统 6月份版本冻结公告</t>
    <phoneticPr fontId="1" type="noConversion"/>
  </si>
  <si>
    <r>
      <t>各位同事，本版本将于6月19日上线，并于6月19日正式生效。请各ISR和问题单的提交人提早预留时间，在6月19日到6月19日期间对系统进行验收。对于没有及时验收的ISR和问题单，电脑部将不予以上线并对其重新进行排期开发。
在收到本公告到版本上线期间，如果ISR的内容需要进行任何变更（包括修改需求，推迟上线时间，提前实施，取消ISR的处理等），请ISR提出人与系统对应的业务分析员进行沟通，确认变更可行后，</t>
    </r>
    <r>
      <rPr>
        <sz val="9"/>
        <color indexed="10"/>
        <rFont val="微软雅黑"/>
        <family val="2"/>
        <charset val="134"/>
      </rPr>
      <t>ISR提出人通过邮件提交用户部门总监和电脑部总监进行审批。</t>
    </r>
    <r>
      <rPr>
        <sz val="9"/>
        <rFont val="微软雅黑"/>
        <family val="2"/>
        <charset val="134"/>
      </rPr>
      <t xml:space="preserve">
挂起原因为“用户需求尚未确认”的ISR，若状态发生变化，请用户主动联系业务分析员。
业务分析员联系方式：</t>
    </r>
    <r>
      <rPr>
        <sz val="9"/>
        <color indexed="10"/>
        <rFont val="微软雅黑"/>
        <family val="2"/>
        <charset val="134"/>
      </rPr>
      <t>Kerust Feng</t>
    </r>
    <r>
      <rPr>
        <sz val="9"/>
        <color indexed="10"/>
        <rFont val="微软雅黑"/>
        <family val="2"/>
        <charset val="134"/>
      </rPr>
      <t>，</t>
    </r>
    <r>
      <rPr>
        <sz val="9"/>
        <color indexed="10"/>
        <rFont val="微软雅黑"/>
        <family val="2"/>
        <charset val="134"/>
      </rPr>
      <t>85198350</t>
    </r>
    <r>
      <rPr>
        <sz val="9"/>
        <rFont val="微软雅黑"/>
        <family val="2"/>
        <charset val="134"/>
      </rPr>
      <t xml:space="preserve">
感谢大家对电脑部工作的配合。</t>
    </r>
    <phoneticPr fontId="1" type="noConversion"/>
  </si>
  <si>
    <t>AHK AmanetV6.12.1</t>
  </si>
  <si>
    <t>AHK AmanetV6.12.1</t>
    <phoneticPr fontId="1" type="noConversion"/>
  </si>
  <si>
    <t>系统性能优化</t>
  </si>
  <si>
    <t>系统性能优化</t>
    <phoneticPr fontId="1" type="noConversion"/>
  </si>
  <si>
    <t>AHK AmanetV6.13.0</t>
  </si>
  <si>
    <t>AHK AmanetV6.13.0</t>
    <phoneticPr fontId="1" type="noConversion"/>
  </si>
  <si>
    <r>
      <t>各位同事，本版本将于7月10日上线，并于7月10日正式生效。请各ISR和问题单的提交人提早预留时间，在7月9日到7月9日期间对系统进行验收。对于没有及时验收的ISR和问题单，电脑部将不予以上线并对其重新进行排期开发。
在收到本公告到版本上线期间，如果ISR的内容需要进行任何变更（包括修改需求，推迟上线时间，提前实施，取消ISR的处理等），请ISR提出人与系统对应的业务分析员进行沟通，确认变更可行后，</t>
    </r>
    <r>
      <rPr>
        <sz val="9"/>
        <color indexed="10"/>
        <rFont val="微软雅黑"/>
        <family val="2"/>
        <charset val="134"/>
      </rPr>
      <t>ISR提出人通过邮件提交用户部门总监和电脑部总监进行审批。</t>
    </r>
    <r>
      <rPr>
        <sz val="9"/>
        <rFont val="微软雅黑"/>
        <family val="2"/>
        <charset val="134"/>
      </rPr>
      <t xml:space="preserve">
挂起原因为“用户需求尚未确认”的ISR，若状态发生变化，请用户主动联系业务分析员。
业务分析员联系方式：</t>
    </r>
    <r>
      <rPr>
        <sz val="9"/>
        <color indexed="10"/>
        <rFont val="微软雅黑"/>
        <family val="2"/>
        <charset val="134"/>
      </rPr>
      <t>Kerust Feng</t>
    </r>
    <r>
      <rPr>
        <sz val="9"/>
        <color indexed="10"/>
        <rFont val="微软雅黑"/>
        <family val="2"/>
        <charset val="134"/>
      </rPr>
      <t>，</t>
    </r>
    <r>
      <rPr>
        <sz val="9"/>
        <color indexed="10"/>
        <rFont val="微软雅黑"/>
        <family val="2"/>
        <charset val="134"/>
      </rPr>
      <t>85198350</t>
    </r>
    <r>
      <rPr>
        <sz val="9"/>
        <rFont val="微软雅黑"/>
        <family val="2"/>
        <charset val="134"/>
      </rPr>
      <t xml:space="preserve">
感谢大家对电脑部工作的配合。</t>
    </r>
    <phoneticPr fontId="1" type="noConversion"/>
  </si>
  <si>
    <t>AHK Star program for health KPI inquiry function</t>
  </si>
  <si>
    <t>AHK Star program for health KPI inquiry function</t>
    <phoneticPr fontId="1" type="noConversion"/>
  </si>
  <si>
    <t>REQ0102163</t>
  </si>
  <si>
    <t>REQ0102163</t>
    <phoneticPr fontId="1" type="noConversion"/>
  </si>
  <si>
    <t>Sanny Li</t>
  </si>
  <si>
    <t>SALES</t>
  </si>
  <si>
    <t>AS400</t>
    <phoneticPr fontId="58" type="noConversion"/>
  </si>
  <si>
    <t>Andy Lin</t>
    <phoneticPr fontId="58" type="noConversion"/>
  </si>
  <si>
    <t>新銀章摘星培訓資格及版面更新</t>
    <phoneticPr fontId="1" type="noConversion"/>
  </si>
  <si>
    <t>REQ0149577</t>
    <phoneticPr fontId="1" type="noConversion"/>
  </si>
  <si>
    <t>AHK AmanetV6.14.0</t>
    <phoneticPr fontId="1" type="noConversion"/>
  </si>
  <si>
    <t>AHK AmanetV6.15.0</t>
  </si>
  <si>
    <t>AHK AmanetV6.15.0</t>
    <phoneticPr fontId="1" type="noConversion"/>
  </si>
  <si>
    <t>REQ0135517</t>
  </si>
  <si>
    <t>REQ0135517</t>
    <phoneticPr fontId="1" type="noConversion"/>
  </si>
  <si>
    <t>是否允許上線續約及購貨</t>
  </si>
  <si>
    <t>是否允許上線續約及購貨</t>
    <phoneticPr fontId="1" type="noConversion"/>
  </si>
  <si>
    <t>AHK AmanetV6.16.0</t>
    <phoneticPr fontId="1" type="noConversion"/>
  </si>
  <si>
    <t>AHK AmanetV6.17.0</t>
    <phoneticPr fontId="1" type="noConversion"/>
  </si>
  <si>
    <t>Frankie Guan</t>
    <phoneticPr fontId="1" type="noConversion"/>
  </si>
  <si>
    <t>Sannie Li</t>
  </si>
  <si>
    <t>v6.15.0</t>
    <phoneticPr fontId="1" type="noConversion"/>
  </si>
  <si>
    <t>Sannie Li</t>
    <phoneticPr fontId="1" type="noConversion"/>
  </si>
  <si>
    <t>SALES</t>
    <phoneticPr fontId="1" type="noConversion"/>
  </si>
  <si>
    <r>
      <t>各位同事，本版本将于10月25日上线，并于10月25日正式生效。请各ISR和问题单的提交人提早预留时间，在10月19日到10月22日期间对系统进行验收。对于没有及时验收的ISR和问题单，电脑部将不予以上线并对其重新进行排期开发。
在收到本公告到版本上线期间，如果ISR的内容需要进行任何变更（包括修改需求，推迟上线时间，提前实施，取消ISR的处理等），请ISR提出人与系统对应的业务分析员进行沟通，确认变更可行后，</t>
    </r>
    <r>
      <rPr>
        <sz val="9"/>
        <color indexed="10"/>
        <rFont val="微软雅黑"/>
        <family val="2"/>
        <charset val="134"/>
      </rPr>
      <t>ISR提出人通过邮件提交用户部门总监和电脑部总监进行审批。</t>
    </r>
    <r>
      <rPr>
        <sz val="9"/>
        <rFont val="微软雅黑"/>
        <family val="2"/>
        <charset val="134"/>
      </rPr>
      <t xml:space="preserve">
挂起原因为“用户需求尚未确认”的ISR，若状态发生变化，请用户主动联系业务分析员。
业务分析员联系方式：</t>
    </r>
    <r>
      <rPr>
        <sz val="9"/>
        <color indexed="10"/>
        <rFont val="微软雅黑"/>
        <family val="2"/>
        <charset val="134"/>
      </rPr>
      <t>Kerust Feng，85198350</t>
    </r>
    <r>
      <rPr>
        <sz val="9"/>
        <rFont val="微软雅黑"/>
        <family val="2"/>
        <charset val="134"/>
      </rPr>
      <t xml:space="preserve">
感谢大家对电脑部工作的配合。</t>
    </r>
    <phoneticPr fontId="1" type="noConversion"/>
  </si>
  <si>
    <t>版本名称</t>
  </si>
  <si>
    <t>待分析的ISR数量</t>
  </si>
  <si>
    <t>待排期的ISR数量</t>
  </si>
  <si>
    <t>已挂起的ISR数量</t>
  </si>
  <si>
    <r>
      <t>本月退回的</t>
    </r>
    <r>
      <rPr>
        <b/>
        <sz val="10"/>
        <rFont val="Arial"/>
        <family val="2"/>
      </rPr>
      <t>ISR</t>
    </r>
    <r>
      <rPr>
        <b/>
        <sz val="10"/>
        <rFont val="宋体"/>
        <family val="3"/>
        <charset val="134"/>
      </rPr>
      <t>数量</t>
    </r>
  </si>
  <si>
    <t>版本总体计划：</t>
  </si>
  <si>
    <t>活动名称</t>
  </si>
  <si>
    <t>计划开始日期</t>
  </si>
  <si>
    <t>计划完成日期</t>
  </si>
  <si>
    <t>版本冻结公告制定并正式发布</t>
  </si>
  <si>
    <t>系统测试</t>
  </si>
  <si>
    <t>用户验收测试</t>
  </si>
  <si>
    <t>应用系统上线</t>
  </si>
  <si>
    <t>版本包含的ISR：</t>
  </si>
  <si>
    <t>申请人
所属部门</t>
  </si>
  <si>
    <t>版本包含的问题单：</t>
  </si>
  <si>
    <t>缺陷及问题单编号</t>
  </si>
  <si>
    <t>提交时间</t>
  </si>
  <si>
    <t>缺陷及问题描述</t>
  </si>
  <si>
    <t>提出人
所属部门</t>
  </si>
  <si>
    <t>pending</t>
  </si>
  <si>
    <t>关联系统版本：</t>
  </si>
  <si>
    <t>系统名称</t>
  </si>
  <si>
    <t>上线日期</t>
  </si>
  <si>
    <t>负责人</t>
  </si>
  <si>
    <t>备注</t>
  </si>
  <si>
    <t>安利易联网</t>
  </si>
  <si>
    <t>V3.75.0</t>
  </si>
  <si>
    <t>Kerust Feng</t>
  </si>
  <si>
    <t>冻结公告发送对象：</t>
  </si>
  <si>
    <t>本次版本中ISR对应提交人，ISR对应提交人上司（总监级），问题单提交人，该产品线的全部用户代表，产品线成员，SQA，测试设计人员，测试管理员，应用系统管理员，AST Leader（Leo Li），Servicedesk邮箱，ITSC（Janice Huang），安全组Leader( Holly He )、服务器组Leader( James Zhan )、网络组Leader( Keen Kong )、DC Leader（Henry Wang），部署组（Kelvin Pan），关联/辅改系统负责人，开发团队Leaders（Michel Chen，Ray Kwong），系统开发总监（Paul Lam），SQA Leader（Holly He）</t>
  </si>
  <si>
    <r>
      <t>在收到本公告到版本上线期间，如果ISR的内容需要进行任何变更（包括修改需求，推迟上线时间，提前实施，取消ISR的处理等），请ISR提出人与系统对应的业务分析员进行沟通，确认变更可行后，</t>
    </r>
    <r>
      <rPr>
        <sz val="9"/>
        <color indexed="10"/>
        <rFont val="微软雅黑"/>
        <family val="2"/>
        <charset val="134"/>
      </rPr>
      <t>ISR提出人通过邮件提交用户部门总监和电脑部总监进行审批。</t>
    </r>
    <r>
      <rPr>
        <sz val="9"/>
        <rFont val="微软雅黑"/>
        <family val="2"/>
        <charset val="134"/>
      </rPr>
      <t xml:space="preserve">
挂起原因为“用户需求尚未确认”的ISR，若状态发生变化，请用户主动联系业务分析员。
业务分析员联系方式：</t>
    </r>
    <r>
      <rPr>
        <sz val="9"/>
        <color indexed="10"/>
        <rFont val="微软雅黑"/>
        <family val="2"/>
        <charset val="134"/>
      </rPr>
      <t>Kerust Feng，85198350</t>
    </r>
    <r>
      <rPr>
        <sz val="9"/>
        <rFont val="微软雅黑"/>
        <family val="2"/>
        <charset val="134"/>
      </rPr>
      <t xml:space="preserve">
感谢大家对电脑部工作的配合。</t>
    </r>
    <phoneticPr fontId="1" type="noConversion"/>
  </si>
  <si>
    <t>AHK Amanet系统 10月份版本冻结公告</t>
    <phoneticPr fontId="1" type="noConversion"/>
  </si>
  <si>
    <t>REQ0149577</t>
  </si>
  <si>
    <t>新銀章摘星培訓資格及版面更新</t>
  </si>
  <si>
    <t>Vicky Chiu</t>
  </si>
  <si>
    <t>各位同事，本版本将于2018/11/6上线，并于2018/11/6正式生效。请各ISR和问题单的提交人提早预留时间，在2018/10/18到2018/10/22期间对系统进行验收。对于没有及时验收的ISR和问题单，电脑部将不予以上线并对其重新进行排期开发。
在收到本公告到版本上线期间，如果ISR的内容需要进行任何变更（包括修改需求，推迟上线时间，提前实施，取消ISR的处理等），请ISR提出人与系统对应的业务分析员进行沟通，确认变更可行后，ISR提出人通过邮件提交用户部门总监和电脑部总监进行审批。
挂起原因为“用户需求尚未确认”的ISR，若状态发生变化，请用户主动联系业务分析员。
业务分析员联系方式：Kerust Feng，85198350
感谢大家对电脑部工作的配合。</t>
    <phoneticPr fontId="1" type="noConversion"/>
  </si>
  <si>
    <t>待排期</t>
  </si>
  <si>
    <t>AHK Amanet系统版本冻结公告-11月份</t>
    <phoneticPr fontId="1" type="noConversion"/>
  </si>
  <si>
    <t>Leo Li</t>
    <phoneticPr fontId="1" type="noConversion"/>
  </si>
  <si>
    <t>ISD</t>
    <phoneticPr fontId="1" type="noConversion"/>
  </si>
  <si>
    <t>5GPOS</t>
    <phoneticPr fontId="1" type="noConversion"/>
  </si>
  <si>
    <t>2018/10/24</t>
    <phoneticPr fontId="1" type="noConversion"/>
  </si>
  <si>
    <t>Kerust Feng</t>
    <phoneticPr fontId="1" type="noConversion"/>
  </si>
  <si>
    <t>新增自动生成冻结公告表头信息及删除冻结公告ISR列表及问题单列表空行的函数</t>
    <phoneticPr fontId="1" type="noConversion"/>
  </si>
  <si>
    <t>電子購貨單(本月)隱蔽了資料，在電子購貨單(過往記錄)竟然無隱蔽資料</t>
  </si>
  <si>
    <t>電子購貨單(本月)隱蔽了資料，在電子購貨單(過往記錄)竟然無隱蔽資料</t>
    <phoneticPr fontId="1" type="noConversion"/>
  </si>
  <si>
    <t>Sannie Li</t>
    <phoneticPr fontId="1" type="noConversion"/>
  </si>
  <si>
    <t>SALES</t>
    <phoneticPr fontId="1" type="noConversion"/>
  </si>
  <si>
    <t>各位同事，本版本将于2018/11/6上线，并于2018/11/6正式生效。请各ISR和问题单的提交人提早预留时间，在2018/10/18到2018/10/22期间对系统进行验收。对于没有及时验收的ISR和问题单，电脑部将不予以上线并对其重新进行排期开发。
在收到本公告到版本上线期间，如果ISR的内容需要进行任何变更（包括修改需求，推迟上线时间，提前实施，取消ISR的处理等），请ISR提出人与系统对应的业务分析员进行沟通，确认变更可行后，ISR提出人通过邮件提交用户部门总监和电脑部总监进行审批。
挂起原因为“用户需求尚未确认”的ISR，若状态发生变化，请用户主动联系业务分析员。
业务分析员联系方式：Kerust Feng，85198350
感谢大家对电脑部工作的配合。</t>
    <phoneticPr fontId="1" type="noConversion"/>
  </si>
  <si>
    <t>AHK Amanet系统版本冻结公告-11月份</t>
    <phoneticPr fontId="1" type="noConversion"/>
  </si>
  <si>
    <t>海外购跳转ACCL HYBRIS，用回INT channel，如果是正常ADA登陆，就使用内部SSO，如果不是ADA登陆直接跳到ACCL HYBRIS首页即可；</t>
    <phoneticPr fontId="1" type="noConversion"/>
  </si>
  <si>
    <t>海外购超2万额度退单的订单越来越多，为提升ABO在海外购系统的体验，提升顾客满意度，避免大量的订单冲销和退款的操作，申请新增海外购退货券+杂项券功能。</t>
    <phoneticPr fontId="1" type="noConversion"/>
  </si>
  <si>
    <t>需求背景：为提升ABO在海外购系统的体验，提升顾客满意度，避免大量的订单冲销和退款的操作；涉及的系统：5GPOS，AS400、Atlas、Cross Border Hybris；需求描述：新增海外购退货券+杂项券功能；期望的上线时间：2017-06-30；延迟上线的后果：新流程上线后，大量海外购订单冲销和退款的操作；费用：160000；费用所属部门：本部门；1、新增海外购退货券+杂项券功能(详细需求需IT评估）</t>
    <phoneticPr fontId="1" type="noConversion"/>
  </si>
  <si>
    <t>海外购网站所有页面均需要修改分享链接（包含：首页，PLP，PDP，订单管理，个人中心，帮助中心），其中除PDP页面显示产品名称、功能描述和产品图片，其他页面显示的名称，文字描述和图片保持一致不做区分，分享文字和图片需设置为可配置修改形式。</t>
    <phoneticPr fontId="1" type="noConversion"/>
  </si>
  <si>
    <t xml:space="preserve">1.产品推荐的需求可配置所以产品包括ACCL产品和海外购产品；
2.云服务进入海外购订单的结算页面默认“银联在线支付”； 
</t>
    <phoneticPr fontId="1" type="noConversion"/>
  </si>
  <si>
    <t>Leo Li</t>
    <phoneticPr fontId="1" type="noConversion"/>
  </si>
  <si>
    <t>Frankie Guan</t>
    <phoneticPr fontId="1" type="noConversion"/>
  </si>
  <si>
    <t>Sanny Li</t>
    <phoneticPr fontId="1" type="noConversion"/>
  </si>
  <si>
    <t>SALES</t>
    <phoneticPr fontId="1" type="noConversion"/>
  </si>
  <si>
    <t>Vicky Chiu</t>
    <phoneticPr fontId="1" type="noConversion"/>
  </si>
  <si>
    <t>Sannie Li</t>
    <phoneticPr fontId="1" type="noConversion"/>
  </si>
  <si>
    <t>2018/19年度獎勵</t>
    <phoneticPr fontId="1" type="noConversion"/>
  </si>
  <si>
    <t>新銀章摘星培訓資格及版面更新</t>
    <phoneticPr fontId="1" type="noConversion"/>
  </si>
  <si>
    <t>各位同事，本版本将于2018/11/6上线，并于2018/11/6正式生效。请各ISR和问题单的提交人提早预留时间，在2018/11/2到2018/11/5期间对系统进行验收。对于没有及时验收的ISR和问题单，电脑部将不予以上线并对其重新进行排期开发。
在收到本公告到版本上线期间，如果ISR的内容需要进行任何变更（包括修改需求，推迟上线时间，提前实施，取消ISR的处理等），请ISR提出人与系统对应的业务分析员进行沟通，确认变更可行后，ISR提出人通过邮件提交用户部门总监和电脑部总监进行审批。
挂起原因为“用户需求尚未确认”的ISR，若状态发生变化，请用户主动联系业务分析员。
业务分析员联系方式：Kerust Feng，85198350
感谢大家对电脑部工作的配合。</t>
    <phoneticPr fontId="1" type="noConversion"/>
  </si>
  <si>
    <t>AHK Amanet系统版本冻结公告-11月份</t>
    <phoneticPr fontId="1" type="noConversion"/>
  </si>
  <si>
    <t>IVR新增报读接口</t>
    <phoneticPr fontId="1" type="noConversion"/>
  </si>
  <si>
    <t>Sannie Li</t>
    <phoneticPr fontId="1" type="noConversion"/>
  </si>
  <si>
    <t>SALES</t>
    <phoneticPr fontId="1" type="noConversion"/>
  </si>
  <si>
    <t>待排期</t>
    <phoneticPr fontId="1" type="noConversion"/>
  </si>
  <si>
    <t>易聯網組織業務報告表(LOS Map Report)</t>
    <phoneticPr fontId="1" type="noConversion"/>
  </si>
  <si>
    <t>2018/19年度獎勵</t>
    <phoneticPr fontId="1" type="noConversion"/>
  </si>
  <si>
    <t>REQ0044239</t>
    <phoneticPr fontId="1" type="noConversion"/>
  </si>
  <si>
    <t>Amanet SOA development &amp;Testing</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</si>
</sst>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76" formatCode="0.00_);[Red]\(0.00\)"/>
    <numFmt numFmtId="177" formatCode="#,##0.00_);[Red]\(#,##0.00\)"/>
  </numFmts>
  <fonts count="74" x14ac:knownFonts="1">
    <font>
      <sz val="10"/>
      <name val="Arial"/>
      <family val="2"/>
    </font>
    <font>
      <sz val="9"/>
      <name val="宋体"/>
      <family val="3"/>
      <charset val="134"/>
    </font>
    <font>
      <sz val="10"/>
      <name val="宋体"/>
      <family val="3"/>
      <charset val="134"/>
    </font>
    <font>
      <sz val="12"/>
      <name val="宋体"/>
      <family val="3"/>
      <charset val="134"/>
    </font>
    <font>
      <b/>
      <sz val="10"/>
      <name val="宋体"/>
      <family val="3"/>
      <charset val="134"/>
    </font>
    <font>
      <b/>
      <sz val="12"/>
      <name val="宋体"/>
      <family val="3"/>
      <charset val="134"/>
    </font>
    <font>
      <sz val="10"/>
      <color indexed="12"/>
      <name val="宋体"/>
      <family val="3"/>
      <charset val="134"/>
    </font>
    <font>
      <sz val="9"/>
      <color indexed="81"/>
      <name val="宋体"/>
      <family val="3"/>
      <charset val="134"/>
    </font>
    <font>
      <b/>
      <sz val="9"/>
      <color indexed="81"/>
      <name val="宋体"/>
      <family val="3"/>
      <charset val="134"/>
    </font>
    <font>
      <sz val="10"/>
      <color indexed="12"/>
      <name val="Arial"/>
      <family val="2"/>
    </font>
    <font>
      <sz val="10"/>
      <name val="Arial"/>
      <family val="2"/>
    </font>
    <font>
      <b/>
      <sz val="16"/>
      <name val="宋体"/>
      <family val="3"/>
      <charset val="134"/>
    </font>
    <font>
      <b/>
      <sz val="10"/>
      <color indexed="12"/>
      <name val="宋体"/>
      <family val="3"/>
      <charset val="134"/>
    </font>
    <font>
      <b/>
      <sz val="10"/>
      <color indexed="10"/>
      <name val="宋体"/>
      <family val="3"/>
      <charset val="134"/>
    </font>
    <font>
      <b/>
      <sz val="10"/>
      <name val="Arial"/>
      <family val="2"/>
    </font>
    <font>
      <b/>
      <sz val="10"/>
      <color indexed="12"/>
      <name val="Arial"/>
      <family val="2"/>
    </font>
    <font>
      <b/>
      <sz val="10"/>
      <color indexed="48"/>
      <name val="宋体"/>
      <family val="3"/>
      <charset val="134"/>
    </font>
    <font>
      <b/>
      <sz val="10"/>
      <color indexed="30"/>
      <name val="宋体"/>
      <family val="3"/>
      <charset val="134"/>
    </font>
    <font>
      <b/>
      <sz val="10"/>
      <name val="宋体"/>
      <family val="3"/>
      <charset val="134"/>
    </font>
    <font>
      <b/>
      <sz val="18"/>
      <color indexed="56"/>
      <name val="宋体"/>
      <family val="3"/>
      <charset val="134"/>
    </font>
    <font>
      <b/>
      <sz val="15"/>
      <color indexed="56"/>
      <name val="宋体"/>
      <family val="3"/>
      <charset val="134"/>
    </font>
    <font>
      <b/>
      <sz val="13"/>
      <color indexed="56"/>
      <name val="宋体"/>
      <family val="3"/>
      <charset val="134"/>
    </font>
    <font>
      <b/>
      <sz val="11"/>
      <color indexed="56"/>
      <name val="宋体"/>
      <family val="3"/>
      <charset val="134"/>
    </font>
    <font>
      <sz val="11"/>
      <color indexed="20"/>
      <name val="宋体"/>
      <family val="3"/>
      <charset val="134"/>
    </font>
    <font>
      <sz val="11"/>
      <color indexed="17"/>
      <name val="宋体"/>
      <family val="3"/>
      <charset val="134"/>
    </font>
    <font>
      <b/>
      <sz val="11"/>
      <color indexed="8"/>
      <name val="宋体"/>
      <family val="3"/>
      <charset val="134"/>
    </font>
    <font>
      <b/>
      <sz val="11"/>
      <color indexed="52"/>
      <name val="宋体"/>
      <family val="3"/>
      <charset val="134"/>
    </font>
    <font>
      <b/>
      <sz val="11"/>
      <color indexed="9"/>
      <name val="宋体"/>
      <family val="3"/>
      <charset val="134"/>
    </font>
    <font>
      <i/>
      <sz val="11"/>
      <color indexed="23"/>
      <name val="宋体"/>
      <family val="3"/>
      <charset val="134"/>
    </font>
    <font>
      <sz val="11"/>
      <color indexed="10"/>
      <name val="宋体"/>
      <family val="3"/>
      <charset val="134"/>
    </font>
    <font>
      <sz val="11"/>
      <color indexed="52"/>
      <name val="宋体"/>
      <family val="3"/>
      <charset val="134"/>
    </font>
    <font>
      <sz val="11"/>
      <color indexed="60"/>
      <name val="宋体"/>
      <family val="3"/>
      <charset val="134"/>
    </font>
    <font>
      <b/>
      <sz val="11"/>
      <color indexed="63"/>
      <name val="宋体"/>
      <family val="3"/>
      <charset val="134"/>
    </font>
    <font>
      <sz val="11"/>
      <color indexed="62"/>
      <name val="宋体"/>
      <family val="3"/>
      <charset val="134"/>
    </font>
    <font>
      <b/>
      <sz val="10"/>
      <name val="宋体"/>
      <family val="3"/>
      <charset val="134"/>
    </font>
    <font>
      <b/>
      <sz val="10"/>
      <name val="宋体"/>
      <family val="3"/>
      <charset val="134"/>
    </font>
    <font>
      <sz val="9"/>
      <name val="宋体"/>
      <family val="3"/>
      <charset val="134"/>
    </font>
    <font>
      <sz val="10"/>
      <name val="宋体"/>
      <family val="3"/>
      <charset val="134"/>
    </font>
    <font>
      <b/>
      <sz val="10"/>
      <color indexed="12"/>
      <name val="宋体"/>
      <family val="3"/>
      <charset val="134"/>
    </font>
    <font>
      <b/>
      <sz val="10"/>
      <name val="宋体"/>
      <family val="3"/>
      <charset val="134"/>
    </font>
    <font>
      <sz val="10"/>
      <color indexed="10"/>
      <name val="宋体"/>
      <family val="3"/>
      <charset val="134"/>
    </font>
    <font>
      <b/>
      <sz val="9"/>
      <name val="微软雅黑"/>
      <family val="2"/>
      <charset val="134"/>
    </font>
    <font>
      <sz val="9"/>
      <name val="微软雅黑"/>
      <family val="2"/>
      <charset val="134"/>
    </font>
    <font>
      <sz val="9"/>
      <name val="Arial"/>
      <family val="2"/>
    </font>
    <font>
      <sz val="9"/>
      <color indexed="10"/>
      <name val="微软雅黑"/>
      <family val="2"/>
      <charset val="134"/>
    </font>
    <font>
      <sz val="10"/>
      <color indexed="12"/>
      <name val="Arial"/>
      <family val="2"/>
    </font>
    <font>
      <sz val="9"/>
      <name val="宋体"/>
      <family val="3"/>
      <charset val="134"/>
    </font>
    <font>
      <sz val="10"/>
      <name val="宋体"/>
      <family val="3"/>
      <charset val="134"/>
    </font>
    <font>
      <sz val="9"/>
      <name val="宋体"/>
      <family val="3"/>
      <charset val="134"/>
    </font>
    <font>
      <sz val="9"/>
      <name val="宋体"/>
      <family val="3"/>
      <charset val="134"/>
    </font>
    <font>
      <sz val="10"/>
      <color indexed="12"/>
      <name val="Arial"/>
      <family val="2"/>
    </font>
    <font>
      <sz val="9"/>
      <name val="宋体"/>
      <family val="3"/>
      <charset val="134"/>
    </font>
    <font>
      <sz val="10"/>
      <color indexed="12"/>
      <name val="Arial"/>
      <family val="2"/>
    </font>
    <font>
      <sz val="10"/>
      <color indexed="12"/>
      <name val="Arial"/>
      <family val="2"/>
    </font>
    <font>
      <sz val="9"/>
      <name val="宋体"/>
      <family val="3"/>
      <charset val="134"/>
    </font>
    <font>
      <sz val="10"/>
      <color indexed="12"/>
      <name val="Arial"/>
      <family val="2"/>
    </font>
    <font>
      <sz val="10"/>
      <name val="宋体"/>
      <family val="3"/>
      <charset val="134"/>
    </font>
    <font>
      <sz val="9"/>
      <name val="宋体"/>
      <family val="3"/>
      <charset val="134"/>
    </font>
    <font>
      <sz val="9"/>
      <name val="宋体"/>
      <family val="3"/>
      <charset val="134"/>
    </font>
    <font>
      <sz val="10"/>
      <color rgb="FF0070C0"/>
      <name val="Arial"/>
      <family val="2"/>
    </font>
    <font>
      <b/>
      <sz val="9"/>
      <color theme="0"/>
      <name val="微软雅黑"/>
      <family val="2"/>
      <charset val="134"/>
    </font>
    <font>
      <b/>
      <sz val="9"/>
      <color rgb="FFC00000"/>
      <name val="微软雅黑"/>
      <family val="2"/>
      <charset val="134"/>
    </font>
    <font>
      <b/>
      <i/>
      <sz val="9"/>
      <color theme="1" tint="0.249977111117893"/>
      <name val="微软雅黑"/>
      <family val="2"/>
      <charset val="134"/>
    </font>
    <font>
      <i/>
      <sz val="9"/>
      <color theme="1" tint="0.249977111117893"/>
      <name val="微软雅黑"/>
      <family val="2"/>
      <charset val="134"/>
    </font>
    <font>
      <b/>
      <sz val="12"/>
      <color rgb="FF005426"/>
      <name val="微软雅黑"/>
      <family val="2"/>
      <charset val="134"/>
    </font>
    <font>
      <sz val="10"/>
      <color rgb="FF0070C0"/>
      <name val="宋体"/>
      <family val="3"/>
      <charset val="134"/>
    </font>
    <font>
      <sz val="9"/>
      <name val="宋体"/>
      <family val="3"/>
      <charset val="134"/>
    </font>
    <font>
      <sz val="9"/>
      <name val="宋体"/>
      <family val="3"/>
      <charset val="134"/>
      <scheme val="minor"/>
    </font>
    <font>
      <sz val="10"/>
      <name val="宋体"/>
      <family val="3"/>
      <charset val="134"/>
      <scheme val="minor"/>
    </font>
    <font>
      <b/>
      <sz val="9"/>
      <color theme="1" tint="0.249977111117893"/>
      <name val="微软雅黑"/>
      <family val="2"/>
      <charset val="134"/>
    </font>
    <font>
      <sz val="9"/>
      <color theme="1" tint="0.249977111117893"/>
      <name val="宋体"/>
      <family val="3"/>
      <charset val="134"/>
      <scheme val="minor"/>
    </font>
    <font>
      <sz val="10"/>
      <color indexed="12"/>
      <name val="宋体"/>
      <family val="3"/>
      <charset val="134"/>
      <scheme val="minor"/>
    </font>
    <font>
      <b/>
      <sz val="10"/>
      <name val="宋体"/>
      <family val="3"/>
      <charset val="134"/>
      <scheme val="minor"/>
    </font>
    <font>
      <sz val="10.5"/>
      <name val="宋体"/>
      <family val="3"/>
      <charset val="134"/>
      <scheme val="minor"/>
    </font>
  </fonts>
  <fills count="18">
    <fill>
      <patternFill patternType="none"/>
    </fill>
    <fill>
      <patternFill patternType="gray125"/>
    </fill>
    <fill>
      <patternFill patternType="solid">
        <fgColor indexed="45"/>
      </patternFill>
    </fill>
    <fill>
      <patternFill patternType="solid">
        <fgColor indexed="42"/>
      </patternFill>
    </fill>
    <fill>
      <patternFill patternType="solid">
        <fgColor indexed="47"/>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indexed="22"/>
        <bgColor indexed="64"/>
      </patternFill>
    </fill>
    <fill>
      <patternFill patternType="solid">
        <fgColor indexed="42"/>
        <bgColor indexed="64"/>
      </patternFill>
    </fill>
    <fill>
      <patternFill patternType="solid">
        <fgColor indexed="43"/>
        <bgColor indexed="64"/>
      </patternFill>
    </fill>
    <fill>
      <patternFill patternType="solid">
        <fgColor indexed="44"/>
        <bgColor indexed="64"/>
      </patternFill>
    </fill>
    <fill>
      <patternFill patternType="solid">
        <fgColor theme="3" tint="0.59999389629810485"/>
        <bgColor indexed="64"/>
      </patternFill>
    </fill>
    <fill>
      <patternFill patternType="solid">
        <fgColor theme="0"/>
        <bgColor indexed="64"/>
      </patternFill>
    </fill>
    <fill>
      <patternFill patternType="solid">
        <fgColor rgb="FF00B050"/>
        <bgColor indexed="64"/>
      </patternFill>
    </fill>
    <fill>
      <patternFill patternType="solid">
        <fgColor rgb="FFC00000"/>
        <bgColor indexed="64"/>
      </patternFill>
    </fill>
    <fill>
      <patternFill patternType="solid">
        <fgColor theme="9" tint="0.59999389629810485"/>
        <bgColor indexed="64"/>
      </patternFill>
    </fill>
  </fills>
  <borders count="31">
    <border>
      <left/>
      <right/>
      <top/>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style="thin">
        <color indexed="62"/>
      </top>
      <bottom style="double">
        <color indexed="62"/>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style="thin">
        <color indexed="63"/>
      </left>
      <right style="thin">
        <color indexed="63"/>
      </right>
      <top style="thin">
        <color indexed="63"/>
      </top>
      <bottom style="thin">
        <color indexed="63"/>
      </bottom>
      <diagonal/>
    </border>
    <border>
      <left style="thin">
        <color indexed="22"/>
      </left>
      <right style="thin">
        <color indexed="22"/>
      </right>
      <top style="thin">
        <color indexed="22"/>
      </top>
      <bottom style="thin">
        <color indexed="22"/>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diagonal/>
    </border>
    <border>
      <left style="thin">
        <color theme="0"/>
      </left>
      <right style="thin">
        <color theme="0"/>
      </right>
      <top style="thin">
        <color theme="0"/>
      </top>
      <bottom/>
      <diagonal/>
    </border>
    <border>
      <left/>
      <right style="thin">
        <color theme="0"/>
      </right>
      <top style="thin">
        <color theme="0"/>
      </top>
      <bottom style="thin">
        <color theme="0"/>
      </bottom>
      <diagonal/>
    </border>
    <border>
      <left style="thin">
        <color theme="0"/>
      </left>
      <right/>
      <top/>
      <bottom/>
      <diagonal/>
    </border>
    <border>
      <left/>
      <right/>
      <top style="thin">
        <color theme="0"/>
      </top>
      <bottom/>
      <diagonal/>
    </border>
    <border>
      <left style="thin">
        <color theme="0"/>
      </left>
      <right style="thin">
        <color theme="0"/>
      </right>
      <top/>
      <bottom/>
      <diagonal/>
    </border>
    <border>
      <left style="thin">
        <color theme="0"/>
      </left>
      <right/>
      <top style="thin">
        <color theme="0"/>
      </top>
      <bottom/>
      <diagonal/>
    </border>
    <border>
      <left style="thin">
        <color indexed="64"/>
      </left>
      <right/>
      <top style="thin">
        <color theme="0"/>
      </top>
      <bottom/>
      <diagonal/>
    </border>
    <border>
      <left style="thin">
        <color theme="0"/>
      </left>
      <right style="thin">
        <color theme="0"/>
      </right>
      <top/>
      <bottom style="thin">
        <color theme="0"/>
      </bottom>
      <diagonal/>
    </border>
    <border>
      <left/>
      <right style="thin">
        <color indexed="64"/>
      </right>
      <top/>
      <bottom style="thin">
        <color theme="0"/>
      </bottom>
      <diagonal/>
    </border>
    <border>
      <left/>
      <right/>
      <top style="thin">
        <color theme="0"/>
      </top>
      <bottom style="thin">
        <color theme="0"/>
      </bottom>
      <diagonal/>
    </border>
  </borders>
  <cellStyleXfs count="19">
    <xf numFmtId="0" fontId="0" fillId="0" borderId="0"/>
    <xf numFmtId="0" fontId="19" fillId="0" borderId="0" applyNumberFormat="0" applyFill="0" applyBorder="0" applyAlignment="0" applyProtection="0">
      <alignment vertical="center"/>
    </xf>
    <xf numFmtId="0" fontId="20" fillId="0" borderId="1" applyNumberFormat="0" applyFill="0" applyAlignment="0" applyProtection="0">
      <alignment vertical="center"/>
    </xf>
    <xf numFmtId="0" fontId="21" fillId="0" borderId="2" applyNumberFormat="0" applyFill="0" applyAlignment="0" applyProtection="0">
      <alignment vertical="center"/>
    </xf>
    <xf numFmtId="0" fontId="22" fillId="0" borderId="3" applyNumberFormat="0" applyFill="0" applyAlignment="0" applyProtection="0">
      <alignment vertical="center"/>
    </xf>
    <xf numFmtId="0" fontId="22" fillId="0" borderId="0" applyNumberFormat="0" applyFill="0" applyBorder="0" applyAlignment="0" applyProtection="0">
      <alignment vertical="center"/>
    </xf>
    <xf numFmtId="0" fontId="23" fillId="2" borderId="0" applyNumberFormat="0" applyBorder="0" applyAlignment="0" applyProtection="0">
      <alignment vertical="center"/>
    </xf>
    <xf numFmtId="0" fontId="3" fillId="0" borderId="0"/>
    <xf numFmtId="0" fontId="24" fillId="3" borderId="0" applyNumberFormat="0" applyBorder="0" applyAlignment="0" applyProtection="0">
      <alignment vertical="center"/>
    </xf>
    <xf numFmtId="0" fontId="25" fillId="0" borderId="4" applyNumberFormat="0" applyFill="0" applyAlignment="0" applyProtection="0">
      <alignment vertical="center"/>
    </xf>
    <xf numFmtId="0" fontId="26" fillId="5" borderId="5" applyNumberFormat="0" applyAlignment="0" applyProtection="0">
      <alignment vertical="center"/>
    </xf>
    <xf numFmtId="0" fontId="27" fillId="6" borderId="6" applyNumberFormat="0" applyAlignment="0" applyProtection="0">
      <alignment vertical="center"/>
    </xf>
    <xf numFmtId="0" fontId="28"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30" fillId="0" borderId="7" applyNumberFormat="0" applyFill="0" applyAlignment="0" applyProtection="0">
      <alignment vertical="center"/>
    </xf>
    <xf numFmtId="0" fontId="31" fillId="7" borderId="0" applyNumberFormat="0" applyBorder="0" applyAlignment="0" applyProtection="0">
      <alignment vertical="center"/>
    </xf>
    <xf numFmtId="0" fontId="32" fillId="5" borderId="8" applyNumberFormat="0" applyAlignment="0" applyProtection="0">
      <alignment vertical="center"/>
    </xf>
    <xf numFmtId="0" fontId="33" fillId="4" borderId="5" applyNumberFormat="0" applyAlignment="0" applyProtection="0">
      <alignment vertical="center"/>
    </xf>
    <xf numFmtId="0" fontId="10" fillId="8" borderId="9" applyNumberFormat="0" applyFont="0" applyAlignment="0" applyProtection="0">
      <alignment vertical="center"/>
    </xf>
  </cellStyleXfs>
  <cellXfs count="296">
    <xf numFmtId="0" fontId="0" fillId="0" borderId="0" xfId="0"/>
    <xf numFmtId="49" fontId="2" fillId="0" borderId="0" xfId="7" applyNumberFormat="1" applyFont="1"/>
    <xf numFmtId="0" fontId="2" fillId="0" borderId="0" xfId="7" applyFont="1"/>
    <xf numFmtId="49" fontId="4" fillId="9" borderId="10" xfId="7" applyNumberFormat="1" applyFont="1" applyFill="1" applyBorder="1" applyAlignment="1">
      <alignment horizontal="center"/>
    </xf>
    <xf numFmtId="0" fontId="4" fillId="9" borderId="10" xfId="7" applyFont="1" applyFill="1" applyBorder="1" applyAlignment="1">
      <alignment horizontal="center"/>
    </xf>
    <xf numFmtId="49" fontId="2" fillId="0" borderId="10" xfId="7" applyNumberFormat="1" applyFont="1" applyBorder="1"/>
    <xf numFmtId="0" fontId="2" fillId="0" borderId="10" xfId="7" applyFont="1" applyBorder="1"/>
    <xf numFmtId="14" fontId="2" fillId="0" borderId="10" xfId="7" applyNumberFormat="1" applyFont="1" applyBorder="1"/>
    <xf numFmtId="0" fontId="6" fillId="0" borderId="0" xfId="0" applyFont="1"/>
    <xf numFmtId="0" fontId="0" fillId="0" borderId="10" xfId="0" applyBorder="1"/>
    <xf numFmtId="0" fontId="0" fillId="0" borderId="0" xfId="0" applyAlignment="1">
      <alignment wrapText="1"/>
    </xf>
    <xf numFmtId="0" fontId="4" fillId="10" borderId="10" xfId="0" applyFont="1" applyFill="1" applyBorder="1" applyAlignment="1">
      <alignment horizontal="center"/>
    </xf>
    <xf numFmtId="14" fontId="9" fillId="0" borderId="10" xfId="0" applyNumberFormat="1" applyFont="1" applyBorder="1"/>
    <xf numFmtId="0" fontId="6" fillId="0" borderId="0" xfId="0" applyFont="1" applyAlignment="1">
      <alignment wrapText="1"/>
    </xf>
    <xf numFmtId="0" fontId="6" fillId="0" borderId="0" xfId="0" applyFont="1" applyAlignment="1"/>
    <xf numFmtId="0" fontId="10" fillId="0" borderId="10" xfId="0" applyFont="1" applyBorder="1"/>
    <xf numFmtId="0" fontId="4" fillId="10" borderId="10" xfId="0" applyFont="1" applyFill="1" applyBorder="1"/>
    <xf numFmtId="0" fontId="4" fillId="10" borderId="10" xfId="0" applyFont="1" applyFill="1" applyBorder="1" applyAlignment="1">
      <alignment horizontal="center" wrapText="1"/>
    </xf>
    <xf numFmtId="0" fontId="4" fillId="0" borderId="0" xfId="0" applyFont="1"/>
    <xf numFmtId="0" fontId="0" fillId="10" borderId="10" xfId="0" applyFill="1" applyBorder="1"/>
    <xf numFmtId="0" fontId="2" fillId="10" borderId="10" xfId="0" applyFont="1" applyFill="1" applyBorder="1"/>
    <xf numFmtId="0" fontId="0" fillId="0" borderId="10" xfId="0" applyFill="1" applyBorder="1"/>
    <xf numFmtId="0" fontId="2" fillId="0" borderId="10" xfId="0" applyFont="1" applyBorder="1"/>
    <xf numFmtId="0" fontId="0" fillId="0" borderId="0" xfId="0" applyBorder="1"/>
    <xf numFmtId="0" fontId="2" fillId="10" borderId="10" xfId="0" applyFont="1" applyFill="1" applyBorder="1" applyAlignment="1">
      <alignment horizontal="left"/>
    </xf>
    <xf numFmtId="14" fontId="0" fillId="0" borderId="10" xfId="0" applyNumberFormat="1" applyBorder="1"/>
    <xf numFmtId="14" fontId="0" fillId="0" borderId="10" xfId="0" applyNumberFormat="1" applyFill="1" applyBorder="1"/>
    <xf numFmtId="14" fontId="0" fillId="10" borderId="10" xfId="0" applyNumberFormat="1" applyFill="1" applyBorder="1"/>
    <xf numFmtId="0" fontId="2" fillId="0" borderId="10" xfId="0" applyFont="1" applyFill="1" applyBorder="1"/>
    <xf numFmtId="0" fontId="4" fillId="11" borderId="10" xfId="0" applyFont="1" applyFill="1" applyBorder="1" applyAlignment="1">
      <alignment horizontal="center" wrapText="1"/>
    </xf>
    <xf numFmtId="176" fontId="0" fillId="0" borderId="11" xfId="0" applyNumberFormat="1" applyBorder="1"/>
    <xf numFmtId="0" fontId="0" fillId="0" borderId="0" xfId="0" applyAlignment="1">
      <alignment horizontal="center"/>
    </xf>
    <xf numFmtId="0" fontId="4" fillId="10" borderId="11" xfId="0" applyFont="1" applyFill="1" applyBorder="1" applyAlignment="1">
      <alignment wrapText="1"/>
    </xf>
    <xf numFmtId="0" fontId="6" fillId="0" borderId="0" xfId="0" applyFont="1" applyFill="1" applyBorder="1" applyAlignment="1">
      <alignment horizontal="left" wrapText="1"/>
    </xf>
    <xf numFmtId="0" fontId="6" fillId="0" borderId="0" xfId="0" applyFont="1" applyBorder="1" applyAlignment="1">
      <alignment horizontal="left"/>
    </xf>
    <xf numFmtId="0" fontId="4" fillId="10" borderId="10" xfId="0" applyFont="1" applyFill="1" applyBorder="1" applyAlignment="1">
      <alignment wrapText="1"/>
    </xf>
    <xf numFmtId="176" fontId="0" fillId="0" borderId="10" xfId="0" applyNumberFormat="1" applyBorder="1" applyAlignment="1">
      <alignment horizontal="center"/>
    </xf>
    <xf numFmtId="0" fontId="4" fillId="0" borderId="0" xfId="0" applyFont="1" applyFill="1" applyBorder="1"/>
    <xf numFmtId="0" fontId="0" fillId="0" borderId="0" xfId="0" applyFill="1" applyBorder="1"/>
    <xf numFmtId="0" fontId="2" fillId="10" borderId="10" xfId="0" applyFont="1" applyFill="1" applyBorder="1" applyAlignment="1">
      <alignment horizontal="center" wrapText="1"/>
    </xf>
    <xf numFmtId="14" fontId="2" fillId="10" borderId="10" xfId="0" applyNumberFormat="1" applyFont="1" applyFill="1" applyBorder="1" applyAlignment="1">
      <alignment horizontal="center" wrapText="1"/>
    </xf>
    <xf numFmtId="0" fontId="12" fillId="10" borderId="10" xfId="0" applyFont="1" applyFill="1" applyBorder="1" applyAlignment="1">
      <alignment horizontal="left"/>
    </xf>
    <xf numFmtId="14" fontId="6" fillId="0" borderId="10" xfId="0" applyNumberFormat="1" applyFont="1" applyBorder="1"/>
    <xf numFmtId="0" fontId="4" fillId="10" borderId="12" xfId="0" applyFont="1" applyFill="1" applyBorder="1" applyAlignment="1">
      <alignment horizontal="center" wrapText="1"/>
    </xf>
    <xf numFmtId="0" fontId="0" fillId="0" borderId="12" xfId="0" applyBorder="1"/>
    <xf numFmtId="0" fontId="0" fillId="0" borderId="13" xfId="0" applyBorder="1"/>
    <xf numFmtId="0" fontId="4" fillId="0" borderId="0" xfId="0" applyFont="1" applyFill="1" applyBorder="1" applyAlignment="1">
      <alignment horizontal="center" wrapText="1"/>
    </xf>
    <xf numFmtId="0" fontId="4" fillId="0" borderId="13" xfId="0" applyFont="1" applyFill="1" applyBorder="1" applyAlignment="1">
      <alignment horizontal="center" wrapText="1"/>
    </xf>
    <xf numFmtId="0" fontId="0" fillId="0" borderId="10" xfId="0" applyBorder="1" applyAlignment="1">
      <alignment horizontal="center"/>
    </xf>
    <xf numFmtId="0" fontId="4" fillId="0" borderId="0" xfId="0" applyFont="1" applyFill="1" applyBorder="1" applyAlignment="1">
      <alignment wrapText="1"/>
    </xf>
    <xf numFmtId="0" fontId="0" fillId="0" borderId="0" xfId="0" applyFill="1"/>
    <xf numFmtId="0" fontId="2" fillId="0" borderId="0" xfId="0" applyFont="1"/>
    <xf numFmtId="0" fontId="15" fillId="0" borderId="0" xfId="0" applyFont="1"/>
    <xf numFmtId="0" fontId="16" fillId="10" borderId="10" xfId="0" applyFont="1" applyFill="1" applyBorder="1" applyAlignment="1">
      <alignment horizontal="center" wrapText="1"/>
    </xf>
    <xf numFmtId="14" fontId="2" fillId="0" borderId="10" xfId="0" applyNumberFormat="1" applyFont="1" applyFill="1" applyBorder="1"/>
    <xf numFmtId="0" fontId="0" fillId="0" borderId="10" xfId="0" applyBorder="1" applyAlignment="1">
      <alignment wrapText="1"/>
    </xf>
    <xf numFmtId="0" fontId="34" fillId="10" borderId="10" xfId="0" applyFont="1" applyFill="1" applyBorder="1" applyAlignment="1">
      <alignment horizontal="center" wrapText="1"/>
    </xf>
    <xf numFmtId="0" fontId="35" fillId="0" borderId="10" xfId="0" applyFont="1" applyBorder="1" applyAlignment="1">
      <alignment horizontal="center"/>
    </xf>
    <xf numFmtId="0" fontId="37" fillId="0" borderId="0" xfId="0" applyFont="1"/>
    <xf numFmtId="0" fontId="37" fillId="0" borderId="10" xfId="0" applyFont="1" applyBorder="1"/>
    <xf numFmtId="0" fontId="0" fillId="0" borderId="0" xfId="0" applyAlignment="1">
      <alignment horizontal="left"/>
    </xf>
    <xf numFmtId="0" fontId="37" fillId="0" borderId="10" xfId="0" applyFont="1" applyBorder="1" applyAlignment="1">
      <alignment horizontal="center"/>
    </xf>
    <xf numFmtId="0" fontId="37" fillId="0" borderId="0" xfId="0" applyFont="1" applyBorder="1" applyAlignment="1">
      <alignment horizontal="center"/>
    </xf>
    <xf numFmtId="0" fontId="35" fillId="13" borderId="0" xfId="0" applyFont="1" applyFill="1" applyAlignment="1">
      <alignment horizontal="left"/>
    </xf>
    <xf numFmtId="0" fontId="35" fillId="14" borderId="10" xfId="0" applyFont="1" applyFill="1" applyBorder="1"/>
    <xf numFmtId="0" fontId="0" fillId="0" borderId="0" xfId="0" applyFont="1"/>
    <xf numFmtId="0" fontId="59" fillId="0" borderId="0" xfId="0" applyFont="1"/>
    <xf numFmtId="0" fontId="39" fillId="0" borderId="10" xfId="0" applyFont="1" applyBorder="1" applyAlignment="1">
      <alignment horizontal="center"/>
    </xf>
    <xf numFmtId="0" fontId="37" fillId="0" borderId="10" xfId="0" applyFont="1" applyBorder="1" applyAlignment="1">
      <alignment wrapText="1"/>
    </xf>
    <xf numFmtId="0" fontId="4" fillId="0" borderId="13" xfId="0" applyFont="1" applyFill="1" applyBorder="1" applyAlignment="1">
      <alignment wrapText="1"/>
    </xf>
    <xf numFmtId="0" fontId="4" fillId="0" borderId="21" xfId="0" applyFont="1" applyFill="1" applyBorder="1" applyAlignment="1">
      <alignment horizontal="center" wrapText="1"/>
    </xf>
    <xf numFmtId="0" fontId="45" fillId="0" borderId="10" xfId="0" applyFont="1" applyBorder="1"/>
    <xf numFmtId="0" fontId="41" fillId="0" borderId="10" xfId="0" applyFont="1" applyFill="1" applyBorder="1" applyAlignment="1">
      <alignment horizontal="right" wrapText="1"/>
    </xf>
    <xf numFmtId="0" fontId="4" fillId="0" borderId="22" xfId="0" applyFont="1" applyFill="1" applyBorder="1" applyAlignment="1">
      <alignment horizontal="center" wrapText="1"/>
    </xf>
    <xf numFmtId="0" fontId="60" fillId="15" borderId="10" xfId="0" applyFont="1" applyFill="1" applyBorder="1" applyAlignment="1">
      <alignment horizontal="center" wrapText="1"/>
    </xf>
    <xf numFmtId="0" fontId="60" fillId="15" borderId="10" xfId="0" applyFont="1" applyFill="1" applyBorder="1" applyAlignment="1">
      <alignment horizontal="center" vertical="center" wrapText="1"/>
    </xf>
    <xf numFmtId="14" fontId="60" fillId="15" borderId="10" xfId="0" applyNumberFormat="1" applyFont="1" applyFill="1" applyBorder="1" applyAlignment="1">
      <alignment horizontal="center" vertical="center" wrapText="1"/>
    </xf>
    <xf numFmtId="0" fontId="60" fillId="16" borderId="10" xfId="0" applyFont="1" applyFill="1" applyBorder="1" applyAlignment="1">
      <alignment horizontal="center" vertical="center" wrapText="1"/>
    </xf>
    <xf numFmtId="0" fontId="42" fillId="0" borderId="10" xfId="0" applyFont="1" applyFill="1" applyBorder="1" applyAlignment="1">
      <alignment wrapText="1"/>
    </xf>
    <xf numFmtId="0" fontId="41" fillId="0" borderId="0" xfId="0" applyFont="1" applyFill="1" applyBorder="1" applyAlignment="1">
      <alignment horizontal="left" vertical="center" wrapText="1"/>
    </xf>
    <xf numFmtId="0" fontId="48" fillId="0" borderId="10" xfId="0" applyFont="1" applyFill="1" applyBorder="1" applyAlignment="1">
      <alignment horizontal="left" vertical="center" wrapText="1"/>
    </xf>
    <xf numFmtId="0" fontId="0" fillId="0" borderId="13" xfId="0" applyBorder="1" applyAlignment="1">
      <alignment wrapText="1"/>
    </xf>
    <xf numFmtId="0" fontId="0" fillId="0" borderId="23" xfId="0" applyBorder="1" applyAlignment="1">
      <alignment wrapText="1"/>
    </xf>
    <xf numFmtId="0" fontId="41" fillId="0" borderId="10" xfId="0" applyFont="1" applyFill="1" applyBorder="1" applyAlignment="1">
      <alignment vertical="center" wrapText="1"/>
    </xf>
    <xf numFmtId="0" fontId="0" fillId="0" borderId="24" xfId="0" applyBorder="1" applyAlignment="1">
      <alignment wrapText="1"/>
    </xf>
    <xf numFmtId="0" fontId="0" fillId="14" borderId="0" xfId="0" applyFill="1" applyBorder="1" applyAlignment="1">
      <alignment wrapText="1"/>
    </xf>
    <xf numFmtId="0" fontId="0" fillId="14" borderId="14" xfId="0" applyFill="1" applyBorder="1" applyAlignment="1">
      <alignment wrapText="1"/>
    </xf>
    <xf numFmtId="0" fontId="42" fillId="0" borderId="10" xfId="0" applyNumberFormat="1" applyFont="1" applyFill="1" applyBorder="1" applyAlignment="1">
      <alignment wrapText="1"/>
    </xf>
    <xf numFmtId="0" fontId="0" fillId="0" borderId="25" xfId="0" applyFill="1" applyBorder="1" applyAlignment="1">
      <alignment wrapText="1"/>
    </xf>
    <xf numFmtId="0" fontId="0" fillId="0" borderId="26" xfId="0" applyFill="1" applyBorder="1" applyAlignment="1">
      <alignment wrapText="1"/>
    </xf>
    <xf numFmtId="0" fontId="41" fillId="0" borderId="27" xfId="0" applyFont="1" applyFill="1" applyBorder="1" applyAlignment="1">
      <alignment vertical="center" wrapText="1"/>
    </xf>
    <xf numFmtId="0" fontId="0" fillId="0" borderId="26" xfId="0" applyBorder="1" applyAlignment="1">
      <alignment wrapText="1"/>
    </xf>
    <xf numFmtId="0" fontId="0" fillId="0" borderId="28" xfId="0" applyBorder="1" applyAlignment="1">
      <alignment wrapText="1"/>
    </xf>
    <xf numFmtId="0" fontId="0" fillId="0" borderId="29" xfId="0" applyBorder="1" applyAlignment="1">
      <alignment wrapText="1"/>
    </xf>
    <xf numFmtId="0" fontId="0" fillId="0" borderId="14" xfId="0" applyBorder="1" applyAlignment="1">
      <alignment wrapText="1"/>
    </xf>
    <xf numFmtId="0" fontId="61" fillId="0" borderId="10" xfId="0" applyFont="1" applyFill="1" applyBorder="1" applyAlignment="1">
      <alignment horizontal="left" wrapText="1"/>
    </xf>
    <xf numFmtId="14" fontId="42" fillId="0" borderId="10" xfId="0" applyNumberFormat="1" applyFont="1" applyFill="1" applyBorder="1" applyAlignment="1">
      <alignment wrapText="1"/>
    </xf>
    <xf numFmtId="0" fontId="0" fillId="0" borderId="30" xfId="0" applyBorder="1" applyAlignment="1">
      <alignment wrapText="1"/>
    </xf>
    <xf numFmtId="0" fontId="42" fillId="0" borderId="10" xfId="0" applyFont="1" applyFill="1" applyBorder="1" applyAlignment="1">
      <alignment horizontal="left" wrapText="1"/>
    </xf>
    <xf numFmtId="0" fontId="41" fillId="0" borderId="13" xfId="0" applyFont="1" applyFill="1" applyBorder="1" applyAlignment="1">
      <alignment horizontal="left" vertical="center" wrapText="1"/>
    </xf>
    <xf numFmtId="0" fontId="41" fillId="0" borderId="14" xfId="0" applyFont="1" applyFill="1" applyBorder="1" applyAlignment="1">
      <alignment horizontal="left" vertical="center" wrapText="1"/>
    </xf>
    <xf numFmtId="14" fontId="48" fillId="0" borderId="10" xfId="0" applyNumberFormat="1" applyFont="1" applyFill="1" applyBorder="1" applyAlignment="1">
      <alignment horizontal="left" vertical="center" wrapText="1"/>
    </xf>
    <xf numFmtId="14" fontId="0" fillId="0" borderId="10" xfId="0" applyNumberFormat="1" applyBorder="1" applyAlignment="1">
      <alignment wrapText="1"/>
    </xf>
    <xf numFmtId="0" fontId="0" fillId="0" borderId="10" xfId="0" applyBorder="1" applyAlignment="1">
      <alignment horizontal="center" wrapText="1"/>
    </xf>
    <xf numFmtId="0" fontId="47" fillId="0" borderId="10" xfId="0" applyFont="1" applyBorder="1" applyAlignment="1">
      <alignment wrapText="1"/>
    </xf>
    <xf numFmtId="0" fontId="62" fillId="0" borderId="10" xfId="0" applyFont="1" applyFill="1" applyBorder="1" applyAlignment="1">
      <alignment vertical="center" wrapText="1"/>
    </xf>
    <xf numFmtId="0" fontId="50" fillId="0" borderId="10" xfId="0" applyFont="1" applyBorder="1"/>
    <xf numFmtId="0" fontId="52" fillId="0" borderId="10" xfId="0" applyFont="1" applyBorder="1"/>
    <xf numFmtId="14" fontId="10" fillId="0" borderId="10" xfId="0" applyNumberFormat="1" applyFont="1" applyBorder="1"/>
    <xf numFmtId="0" fontId="53" fillId="0" borderId="10" xfId="0" applyFont="1" applyBorder="1"/>
    <xf numFmtId="0" fontId="55" fillId="0" borderId="10" xfId="0" applyFont="1" applyBorder="1"/>
    <xf numFmtId="0" fontId="56" fillId="0" borderId="10" xfId="0" applyFont="1" applyFill="1" applyBorder="1"/>
    <xf numFmtId="0" fontId="56" fillId="0" borderId="10" xfId="0" applyFont="1" applyBorder="1"/>
    <xf numFmtId="0" fontId="42" fillId="0" borderId="13" xfId="0" applyFont="1" applyFill="1" applyBorder="1" applyAlignment="1">
      <alignment wrapText="1"/>
    </xf>
    <xf numFmtId="14" fontId="42" fillId="0" borderId="0" xfId="0" applyNumberFormat="1" applyFont="1" applyFill="1" applyBorder="1" applyAlignment="1">
      <alignment wrapText="1"/>
    </xf>
    <xf numFmtId="0" fontId="42" fillId="0" borderId="0" xfId="0" applyFont="1" applyFill="1" applyBorder="1" applyAlignment="1">
      <alignment wrapText="1"/>
    </xf>
    <xf numFmtId="0" fontId="42" fillId="0" borderId="0" xfId="0" applyNumberFormat="1" applyFont="1" applyFill="1" applyBorder="1" applyAlignment="1">
      <alignment wrapText="1"/>
    </xf>
    <xf numFmtId="0" fontId="42" fillId="0" borderId="14" xfId="0" applyFont="1" applyFill="1" applyBorder="1" applyAlignment="1">
      <alignment wrapText="1"/>
    </xf>
    <xf numFmtId="0" fontId="9" fillId="0" borderId="10" xfId="0" applyFont="1" applyBorder="1"/>
    <xf numFmtId="0" fontId="48" fillId="0" borderId="13" xfId="0" applyFont="1" applyFill="1" applyBorder="1" applyAlignment="1">
      <alignment horizontal="left" vertical="center" wrapText="1"/>
    </xf>
    <xf numFmtId="14" fontId="48" fillId="0" borderId="0" xfId="0" applyNumberFormat="1" applyFont="1" applyFill="1" applyBorder="1" applyAlignment="1">
      <alignment horizontal="left" vertical="center" wrapText="1"/>
    </xf>
    <xf numFmtId="0" fontId="48" fillId="0" borderId="0" xfId="0" applyFont="1" applyFill="1" applyBorder="1" applyAlignment="1">
      <alignment horizontal="left" vertical="center" wrapText="1"/>
    </xf>
    <xf numFmtId="0" fontId="48" fillId="0" borderId="14" xfId="0" applyFont="1" applyFill="1" applyBorder="1" applyAlignment="1">
      <alignment horizontal="left" vertical="center" wrapText="1"/>
    </xf>
    <xf numFmtId="58" fontId="0" fillId="0" borderId="10" xfId="0" applyNumberFormat="1" applyBorder="1" applyAlignment="1">
      <alignment wrapText="1"/>
    </xf>
    <xf numFmtId="0" fontId="67" fillId="0" borderId="10" xfId="0" applyNumberFormat="1" applyFont="1" applyFill="1" applyBorder="1" applyAlignment="1">
      <alignment wrapText="1"/>
    </xf>
    <xf numFmtId="14" fontId="67" fillId="0" borderId="10" xfId="0" applyNumberFormat="1" applyFont="1" applyFill="1" applyBorder="1" applyAlignment="1">
      <alignment wrapText="1"/>
    </xf>
    <xf numFmtId="0" fontId="67" fillId="0" borderId="10" xfId="0" applyFont="1" applyFill="1" applyBorder="1" applyAlignment="1">
      <alignment wrapText="1"/>
    </xf>
    <xf numFmtId="0" fontId="0" fillId="0" borderId="10" xfId="0" applyBorder="1" applyAlignment="1">
      <alignment wrapText="1"/>
    </xf>
    <xf numFmtId="0" fontId="4" fillId="0" borderId="21" xfId="0" applyFont="1" applyFill="1" applyBorder="1" applyAlignment="1">
      <alignment horizontal="center" wrapText="1"/>
    </xf>
    <xf numFmtId="0" fontId="41" fillId="0" borderId="10" xfId="0" applyFont="1" applyFill="1" applyBorder="1" applyAlignment="1">
      <alignment horizontal="right" wrapText="1"/>
    </xf>
    <xf numFmtId="0" fontId="4" fillId="0" borderId="22" xfId="0" applyFont="1" applyFill="1" applyBorder="1" applyAlignment="1">
      <alignment horizontal="center" wrapText="1"/>
    </xf>
    <xf numFmtId="0" fontId="60" fillId="15" borderId="10" xfId="0" applyFont="1" applyFill="1" applyBorder="1" applyAlignment="1">
      <alignment horizontal="center" wrapText="1"/>
    </xf>
    <xf numFmtId="0" fontId="60" fillId="15" borderId="10" xfId="0" applyFont="1" applyFill="1" applyBorder="1" applyAlignment="1">
      <alignment horizontal="center" vertical="center" wrapText="1"/>
    </xf>
    <xf numFmtId="14" fontId="60" fillId="15" borderId="10" xfId="0" applyNumberFormat="1" applyFont="1" applyFill="1" applyBorder="1" applyAlignment="1">
      <alignment horizontal="center" vertical="center" wrapText="1"/>
    </xf>
    <xf numFmtId="0" fontId="60" fillId="16" borderId="10" xfId="0" applyFont="1" applyFill="1" applyBorder="1" applyAlignment="1">
      <alignment horizontal="center" vertical="center" wrapText="1"/>
    </xf>
    <xf numFmtId="0" fontId="42" fillId="0" borderId="10" xfId="0" applyFont="1" applyFill="1" applyBorder="1" applyAlignment="1">
      <alignment wrapText="1"/>
    </xf>
    <xf numFmtId="0" fontId="41" fillId="0" borderId="0" xfId="0" applyFont="1" applyFill="1" applyBorder="1" applyAlignment="1">
      <alignment horizontal="left" vertical="center" wrapText="1"/>
    </xf>
    <xf numFmtId="0" fontId="1" fillId="0" borderId="10" xfId="0" applyFont="1" applyFill="1" applyBorder="1" applyAlignment="1">
      <alignment horizontal="left" vertical="center" wrapText="1"/>
    </xf>
    <xf numFmtId="0" fontId="0" fillId="0" borderId="13" xfId="0" applyBorder="1" applyAlignment="1">
      <alignment wrapText="1"/>
    </xf>
    <xf numFmtId="0" fontId="0" fillId="0" borderId="23" xfId="0" applyBorder="1" applyAlignment="1">
      <alignment wrapText="1"/>
    </xf>
    <xf numFmtId="0" fontId="41" fillId="0" borderId="10" xfId="0" applyFont="1" applyFill="1" applyBorder="1" applyAlignment="1">
      <alignment vertical="center" wrapText="1"/>
    </xf>
    <xf numFmtId="0" fontId="0" fillId="0" borderId="24" xfId="0" applyBorder="1" applyAlignment="1">
      <alignment wrapText="1"/>
    </xf>
    <xf numFmtId="0" fontId="0" fillId="14" borderId="0" xfId="0" applyFill="1" applyBorder="1" applyAlignment="1">
      <alignment wrapText="1"/>
    </xf>
    <xf numFmtId="0" fontId="0" fillId="14" borderId="14" xfId="0" applyFill="1" applyBorder="1" applyAlignment="1">
      <alignment wrapText="1"/>
    </xf>
    <xf numFmtId="0" fontId="42" fillId="0" borderId="10" xfId="0" applyNumberFormat="1" applyFont="1" applyFill="1" applyBorder="1" applyAlignment="1">
      <alignment wrapText="1"/>
    </xf>
    <xf numFmtId="0" fontId="0" fillId="0" borderId="25" xfId="0" applyFill="1" applyBorder="1" applyAlignment="1">
      <alignment wrapText="1"/>
    </xf>
    <xf numFmtId="0" fontId="0" fillId="0" borderId="26" xfId="0" applyFill="1" applyBorder="1" applyAlignment="1">
      <alignment wrapText="1"/>
    </xf>
    <xf numFmtId="0" fontId="41" fillId="0" borderId="27" xfId="0" applyFont="1" applyFill="1" applyBorder="1" applyAlignment="1">
      <alignment vertical="center" wrapText="1"/>
    </xf>
    <xf numFmtId="0" fontId="0" fillId="0" borderId="26" xfId="0" applyBorder="1" applyAlignment="1">
      <alignment wrapText="1"/>
    </xf>
    <xf numFmtId="0" fontId="0" fillId="0" borderId="28" xfId="0" applyBorder="1" applyAlignment="1">
      <alignment wrapText="1"/>
    </xf>
    <xf numFmtId="0" fontId="0" fillId="0" borderId="29" xfId="0" applyBorder="1" applyAlignment="1">
      <alignment wrapText="1"/>
    </xf>
    <xf numFmtId="0" fontId="0" fillId="0" borderId="14" xfId="0" applyBorder="1" applyAlignment="1">
      <alignment wrapText="1"/>
    </xf>
    <xf numFmtId="0" fontId="61" fillId="0" borderId="10" xfId="0" applyFont="1" applyFill="1" applyBorder="1" applyAlignment="1">
      <alignment horizontal="left" wrapText="1"/>
    </xf>
    <xf numFmtId="14" fontId="42" fillId="0" borderId="10" xfId="0" applyNumberFormat="1" applyFont="1" applyFill="1" applyBorder="1" applyAlignment="1">
      <alignment wrapText="1"/>
    </xf>
    <xf numFmtId="0" fontId="0" fillId="0" borderId="30" xfId="0" applyBorder="1" applyAlignment="1">
      <alignment wrapText="1"/>
    </xf>
    <xf numFmtId="0" fontId="42" fillId="0" borderId="10" xfId="0" applyFont="1" applyFill="1" applyBorder="1" applyAlignment="1">
      <alignment horizontal="left" wrapText="1"/>
    </xf>
    <xf numFmtId="0" fontId="41" fillId="0" borderId="13" xfId="0" applyFont="1" applyFill="1" applyBorder="1" applyAlignment="1">
      <alignment horizontal="left" vertical="center" wrapText="1"/>
    </xf>
    <xf numFmtId="0" fontId="41" fillId="0" borderId="14" xfId="0" applyFont="1" applyFill="1" applyBorder="1" applyAlignment="1">
      <alignment horizontal="left" vertical="center" wrapText="1"/>
    </xf>
    <xf numFmtId="14" fontId="1" fillId="0" borderId="10" xfId="0" applyNumberFormat="1" applyFont="1" applyFill="1" applyBorder="1" applyAlignment="1">
      <alignment horizontal="left" vertical="center" wrapText="1"/>
    </xf>
    <xf numFmtId="0" fontId="0" fillId="0" borderId="0" xfId="0"/>
    <xf numFmtId="0" fontId="42" fillId="0" borderId="10" xfId="0" applyNumberFormat="1" applyFont="1" applyFill="1" applyBorder="1" applyAlignment="1">
      <alignment wrapText="1"/>
    </xf>
    <xf numFmtId="0" fontId="42" fillId="0" borderId="12" xfId="0" applyFont="1" applyFill="1" applyBorder="1" applyAlignment="1">
      <alignment horizontal="left" vertical="center" wrapText="1"/>
    </xf>
    <xf numFmtId="0" fontId="42" fillId="0" borderId="0" xfId="0" applyFont="1" applyFill="1" applyBorder="1" applyAlignment="1">
      <alignment horizontal="left" vertical="center" wrapText="1"/>
    </xf>
    <xf numFmtId="0" fontId="0" fillId="0" borderId="0" xfId="0"/>
    <xf numFmtId="0" fontId="0" fillId="0" borderId="10" xfId="0" applyBorder="1"/>
    <xf numFmtId="0" fontId="0" fillId="0" borderId="10" xfId="0" applyFill="1" applyBorder="1"/>
    <xf numFmtId="0" fontId="2" fillId="0" borderId="10" xfId="0" applyFont="1" applyBorder="1"/>
    <xf numFmtId="0" fontId="0" fillId="0" borderId="0" xfId="0" applyBorder="1"/>
    <xf numFmtId="14" fontId="0" fillId="0" borderId="10" xfId="0" applyNumberFormat="1" applyFill="1" applyBorder="1"/>
    <xf numFmtId="0" fontId="0" fillId="0" borderId="13" xfId="0" applyBorder="1"/>
    <xf numFmtId="0" fontId="0" fillId="0" borderId="10" xfId="0" applyBorder="1" applyAlignment="1">
      <alignment horizontal="center"/>
    </xf>
    <xf numFmtId="0" fontId="0" fillId="0" borderId="0" xfId="0" applyFill="1"/>
    <xf numFmtId="14" fontId="2" fillId="0" borderId="10" xfId="0" applyNumberFormat="1" applyFont="1" applyFill="1" applyBorder="1"/>
    <xf numFmtId="0" fontId="0" fillId="0" borderId="10" xfId="0" applyBorder="1" applyAlignment="1">
      <alignment wrapText="1"/>
    </xf>
    <xf numFmtId="0" fontId="2" fillId="0" borderId="10" xfId="0" applyFont="1" applyBorder="1" applyAlignment="1">
      <alignment wrapText="1"/>
    </xf>
    <xf numFmtId="0" fontId="4" fillId="0" borderId="21" xfId="0" applyFont="1" applyFill="1" applyBorder="1" applyAlignment="1">
      <alignment horizontal="center" wrapText="1"/>
    </xf>
    <xf numFmtId="0" fontId="41" fillId="0" borderId="10" xfId="0" applyFont="1" applyFill="1" applyBorder="1" applyAlignment="1">
      <alignment horizontal="right" wrapText="1"/>
    </xf>
    <xf numFmtId="0" fontId="4" fillId="0" borderId="22" xfId="0" applyFont="1" applyFill="1" applyBorder="1" applyAlignment="1">
      <alignment horizontal="center" wrapText="1"/>
    </xf>
    <xf numFmtId="0" fontId="60" fillId="15" borderId="10" xfId="0" applyFont="1" applyFill="1" applyBorder="1" applyAlignment="1">
      <alignment horizontal="center" wrapText="1"/>
    </xf>
    <xf numFmtId="0" fontId="60" fillId="15" borderId="10" xfId="0" applyFont="1" applyFill="1" applyBorder="1" applyAlignment="1">
      <alignment horizontal="center" vertical="center" wrapText="1"/>
    </xf>
    <xf numFmtId="14" fontId="60" fillId="15" borderId="10" xfId="0" applyNumberFormat="1" applyFont="1" applyFill="1" applyBorder="1" applyAlignment="1">
      <alignment horizontal="center" vertical="center" wrapText="1"/>
    </xf>
    <xf numFmtId="0" fontId="60" fillId="16" borderId="10" xfId="0" applyFont="1" applyFill="1" applyBorder="1" applyAlignment="1">
      <alignment horizontal="center" vertical="center" wrapText="1"/>
    </xf>
    <xf numFmtId="0" fontId="42" fillId="0" borderId="10" xfId="0" applyFont="1" applyFill="1" applyBorder="1" applyAlignment="1">
      <alignment wrapText="1"/>
    </xf>
    <xf numFmtId="0" fontId="41" fillId="0" borderId="0" xfId="0" applyFont="1" applyFill="1" applyBorder="1" applyAlignment="1">
      <alignment horizontal="left" vertical="center" wrapText="1"/>
    </xf>
    <xf numFmtId="0" fontId="1" fillId="0" borderId="10" xfId="0" applyFont="1" applyFill="1" applyBorder="1" applyAlignment="1">
      <alignment horizontal="left" vertical="center" wrapText="1"/>
    </xf>
    <xf numFmtId="0" fontId="0" fillId="0" borderId="13" xfId="0" applyBorder="1" applyAlignment="1">
      <alignment wrapText="1"/>
    </xf>
    <xf numFmtId="0" fontId="0" fillId="0" borderId="23" xfId="0" applyBorder="1" applyAlignment="1">
      <alignment wrapText="1"/>
    </xf>
    <xf numFmtId="0" fontId="41" fillId="0" borderId="10" xfId="0" applyFont="1" applyFill="1" applyBorder="1" applyAlignment="1">
      <alignment vertical="center" wrapText="1"/>
    </xf>
    <xf numFmtId="0" fontId="0" fillId="0" borderId="24" xfId="0" applyBorder="1" applyAlignment="1">
      <alignment wrapText="1"/>
    </xf>
    <xf numFmtId="0" fontId="0" fillId="14" borderId="0" xfId="0" applyFill="1" applyBorder="1" applyAlignment="1">
      <alignment wrapText="1"/>
    </xf>
    <xf numFmtId="0" fontId="0" fillId="14" borderId="14" xfId="0" applyFill="1" applyBorder="1" applyAlignment="1">
      <alignment wrapText="1"/>
    </xf>
    <xf numFmtId="0" fontId="42" fillId="0" borderId="10" xfId="0" applyNumberFormat="1" applyFont="1" applyFill="1" applyBorder="1" applyAlignment="1">
      <alignment wrapText="1"/>
    </xf>
    <xf numFmtId="0" fontId="0" fillId="0" borderId="25" xfId="0" applyFill="1" applyBorder="1" applyAlignment="1">
      <alignment wrapText="1"/>
    </xf>
    <xf numFmtId="0" fontId="0" fillId="0" borderId="26" xfId="0" applyFill="1" applyBorder="1" applyAlignment="1">
      <alignment wrapText="1"/>
    </xf>
    <xf numFmtId="0" fontId="41" fillId="0" borderId="27" xfId="0" applyFont="1" applyFill="1" applyBorder="1" applyAlignment="1">
      <alignment vertical="center" wrapText="1"/>
    </xf>
    <xf numFmtId="0" fontId="0" fillId="0" borderId="26" xfId="0" applyBorder="1" applyAlignment="1">
      <alignment wrapText="1"/>
    </xf>
    <xf numFmtId="0" fontId="0" fillId="0" borderId="28" xfId="0" applyBorder="1" applyAlignment="1">
      <alignment wrapText="1"/>
    </xf>
    <xf numFmtId="0" fontId="0" fillId="0" borderId="29" xfId="0" applyBorder="1" applyAlignment="1">
      <alignment wrapText="1"/>
    </xf>
    <xf numFmtId="0" fontId="0" fillId="0" borderId="14" xfId="0" applyBorder="1" applyAlignment="1">
      <alignment wrapText="1"/>
    </xf>
    <xf numFmtId="0" fontId="61" fillId="0" borderId="10" xfId="0" applyFont="1" applyFill="1" applyBorder="1" applyAlignment="1">
      <alignment horizontal="left" wrapText="1"/>
    </xf>
    <xf numFmtId="14" fontId="42" fillId="0" borderId="10" xfId="0" applyNumberFormat="1" applyFont="1" applyFill="1" applyBorder="1" applyAlignment="1">
      <alignment wrapText="1"/>
    </xf>
    <xf numFmtId="0" fontId="0" fillId="0" borderId="30" xfId="0" applyBorder="1" applyAlignment="1">
      <alignment wrapText="1"/>
    </xf>
    <xf numFmtId="0" fontId="42" fillId="0" borderId="10" xfId="0" applyFont="1" applyFill="1" applyBorder="1" applyAlignment="1">
      <alignment horizontal="left" wrapText="1"/>
    </xf>
    <xf numFmtId="0" fontId="41" fillId="0" borderId="13" xfId="0" applyFont="1" applyFill="1" applyBorder="1" applyAlignment="1">
      <alignment horizontal="left" vertical="center" wrapText="1"/>
    </xf>
    <xf numFmtId="0" fontId="41" fillId="0" borderId="14" xfId="0" applyFont="1" applyFill="1" applyBorder="1" applyAlignment="1">
      <alignment horizontal="left" vertical="center" wrapText="1"/>
    </xf>
    <xf numFmtId="14" fontId="1" fillId="0" borderId="10" xfId="0" applyNumberFormat="1" applyFont="1" applyFill="1" applyBorder="1" applyAlignment="1">
      <alignment horizontal="left" vertical="center" wrapText="1"/>
    </xf>
    <xf numFmtId="14" fontId="0" fillId="0" borderId="10" xfId="0" applyNumberFormat="1" applyBorder="1" applyAlignment="1">
      <alignment wrapText="1"/>
    </xf>
    <xf numFmtId="0" fontId="0" fillId="0" borderId="10" xfId="0" applyBorder="1" applyAlignment="1">
      <alignment horizontal="center" wrapText="1"/>
    </xf>
    <xf numFmtId="0" fontId="62" fillId="0" borderId="10" xfId="0" applyFont="1" applyFill="1" applyBorder="1" applyAlignment="1">
      <alignment vertical="center" wrapText="1"/>
    </xf>
    <xf numFmtId="0" fontId="68" fillId="0" borderId="10" xfId="0" applyFont="1" applyBorder="1" applyAlignment="1">
      <alignment wrapText="1"/>
    </xf>
    <xf numFmtId="14" fontId="68" fillId="0" borderId="10" xfId="0" applyNumberFormat="1" applyFont="1" applyBorder="1" applyAlignment="1">
      <alignment wrapText="1"/>
    </xf>
    <xf numFmtId="0" fontId="68" fillId="0" borderId="10" xfId="0" applyFont="1" applyBorder="1" applyAlignment="1">
      <alignment horizontal="center" wrapText="1"/>
    </xf>
    <xf numFmtId="0" fontId="69" fillId="0" borderId="10" xfId="0" applyFont="1" applyFill="1" applyBorder="1" applyAlignment="1">
      <alignment vertical="center" wrapText="1"/>
    </xf>
    <xf numFmtId="0" fontId="2" fillId="0" borderId="10" xfId="7" applyFont="1" applyBorder="1" applyAlignment="1">
      <alignment wrapText="1"/>
    </xf>
    <xf numFmtId="0" fontId="68" fillId="0" borderId="10" xfId="0" applyFont="1" applyBorder="1" applyAlignment="1">
      <alignment wrapText="1"/>
    </xf>
    <xf numFmtId="0" fontId="0" fillId="0" borderId="10" xfId="0" applyBorder="1" applyAlignment="1">
      <alignment wrapText="1"/>
    </xf>
    <xf numFmtId="0" fontId="41" fillId="0" borderId="13" xfId="0" applyFont="1" applyFill="1" applyBorder="1" applyAlignment="1">
      <alignment horizontal="left" vertical="center" wrapText="1"/>
    </xf>
    <xf numFmtId="0" fontId="41" fillId="0" borderId="0" xfId="0" applyFont="1" applyFill="1" applyBorder="1" applyAlignment="1">
      <alignment horizontal="left" vertical="center" wrapText="1"/>
    </xf>
    <xf numFmtId="0" fontId="41" fillId="0" borderId="14" xfId="0" applyFont="1" applyFill="1" applyBorder="1" applyAlignment="1">
      <alignment horizontal="left" vertical="center" wrapText="1"/>
    </xf>
    <xf numFmtId="14" fontId="68" fillId="0" borderId="10" xfId="0" applyNumberFormat="1" applyFont="1" applyBorder="1" applyAlignment="1">
      <alignment wrapText="1"/>
    </xf>
    <xf numFmtId="0" fontId="68" fillId="0" borderId="10" xfId="0" applyFont="1" applyBorder="1" applyAlignment="1">
      <alignment wrapText="1"/>
    </xf>
    <xf numFmtId="0" fontId="68" fillId="0" borderId="0" xfId="0" applyFont="1"/>
    <xf numFmtId="177" fontId="68" fillId="0" borderId="0" xfId="0" applyNumberFormat="1" applyFont="1"/>
    <xf numFmtId="0" fontId="72" fillId="11" borderId="10" xfId="0" applyFont="1" applyFill="1" applyBorder="1" applyAlignment="1">
      <alignment horizontal="center" wrapText="1"/>
    </xf>
    <xf numFmtId="0" fontId="72" fillId="10" borderId="10" xfId="0" applyFont="1" applyFill="1" applyBorder="1" applyAlignment="1">
      <alignment horizontal="center" wrapText="1"/>
    </xf>
    <xf numFmtId="177" fontId="72" fillId="10" borderId="10" xfId="0" applyNumberFormat="1" applyFont="1" applyFill="1" applyBorder="1" applyAlignment="1">
      <alignment horizontal="center" wrapText="1"/>
    </xf>
    <xf numFmtId="0" fontId="68" fillId="0" borderId="0" xfId="0" applyFont="1" applyAlignment="1">
      <alignment wrapText="1"/>
    </xf>
    <xf numFmtId="0" fontId="68" fillId="0" borderId="10" xfId="0" applyFont="1" applyFill="1" applyBorder="1"/>
    <xf numFmtId="14" fontId="68" fillId="0" borderId="10" xfId="0" applyNumberFormat="1" applyFont="1" applyFill="1" applyBorder="1"/>
    <xf numFmtId="0" fontId="68" fillId="0" borderId="10" xfId="0" applyFont="1" applyBorder="1"/>
    <xf numFmtId="0" fontId="68" fillId="0" borderId="10" xfId="0" applyFont="1" applyBorder="1" applyAlignment="1">
      <alignment horizontal="center"/>
    </xf>
    <xf numFmtId="177" fontId="68" fillId="0" borderId="10" xfId="0" applyNumberFormat="1" applyFont="1" applyBorder="1"/>
    <xf numFmtId="0" fontId="68" fillId="0" borderId="10" xfId="0" applyFont="1" applyFill="1" applyBorder="1" applyAlignment="1">
      <alignment wrapText="1"/>
    </xf>
    <xf numFmtId="0" fontId="73" fillId="0" borderId="0" xfId="0" applyFont="1"/>
    <xf numFmtId="0" fontId="68" fillId="0" borderId="0" xfId="0" applyFont="1" applyAlignment="1">
      <alignment horizontal="left" vertical="center"/>
    </xf>
    <xf numFmtId="14" fontId="68" fillId="0" borderId="10" xfId="0" applyNumberFormat="1" applyFont="1" applyBorder="1"/>
    <xf numFmtId="14" fontId="0" fillId="0" borderId="12" xfId="0" applyNumberFormat="1" applyBorder="1" applyAlignment="1">
      <alignment wrapText="1"/>
    </xf>
    <xf numFmtId="0" fontId="0" fillId="0" borderId="18" xfId="0" applyBorder="1" applyAlignment="1">
      <alignment wrapText="1"/>
    </xf>
    <xf numFmtId="14" fontId="0" fillId="0" borderId="10" xfId="0" applyNumberFormat="1" applyBorder="1" applyAlignment="1">
      <alignment wrapText="1"/>
    </xf>
    <xf numFmtId="0" fontId="0" fillId="0" borderId="10" xfId="0" applyBorder="1" applyAlignment="1">
      <alignment wrapText="1"/>
    </xf>
    <xf numFmtId="0" fontId="0" fillId="0" borderId="12" xfId="0" applyBorder="1" applyAlignment="1">
      <alignment wrapText="1"/>
    </xf>
    <xf numFmtId="0" fontId="63" fillId="0" borderId="10" xfId="0" applyFont="1" applyFill="1" applyBorder="1" applyAlignment="1">
      <alignment horizontal="left" vertical="center" wrapText="1"/>
    </xf>
    <xf numFmtId="0" fontId="64" fillId="0" borderId="10" xfId="0" applyFont="1" applyFill="1" applyBorder="1" applyAlignment="1">
      <alignment horizontal="center" vertical="center" wrapText="1"/>
    </xf>
    <xf numFmtId="0" fontId="42" fillId="0" borderId="10" xfId="0" applyFont="1" applyFill="1" applyBorder="1" applyAlignment="1">
      <alignment horizontal="left" vertical="center" wrapText="1"/>
    </xf>
    <xf numFmtId="0" fontId="0" fillId="0" borderId="23" xfId="0" applyFill="1" applyBorder="1" applyAlignment="1">
      <alignment horizontal="center" wrapText="1"/>
    </xf>
    <xf numFmtId="0" fontId="0" fillId="0" borderId="0" xfId="0" applyFill="1" applyBorder="1" applyAlignment="1">
      <alignment horizontal="center" wrapText="1"/>
    </xf>
    <xf numFmtId="0" fontId="0" fillId="0" borderId="14" xfId="0" applyFill="1" applyBorder="1" applyAlignment="1">
      <alignment horizontal="center" wrapText="1"/>
    </xf>
    <xf numFmtId="0" fontId="41" fillId="0" borderId="13" xfId="0" applyFont="1" applyFill="1" applyBorder="1" applyAlignment="1">
      <alignment horizontal="left" vertical="center" wrapText="1"/>
    </xf>
    <xf numFmtId="0" fontId="41" fillId="0" borderId="0" xfId="0" applyFont="1" applyFill="1" applyBorder="1" applyAlignment="1">
      <alignment horizontal="left" vertical="center" wrapText="1"/>
    </xf>
    <xf numFmtId="0" fontId="41" fillId="0" borderId="14" xfId="0" applyFont="1" applyFill="1" applyBorder="1" applyAlignment="1">
      <alignment horizontal="left" vertical="center" wrapText="1"/>
    </xf>
    <xf numFmtId="0" fontId="60" fillId="15" borderId="12" xfId="0" applyFont="1" applyFill="1" applyBorder="1" applyAlignment="1">
      <alignment horizontal="center" vertical="center" wrapText="1"/>
    </xf>
    <xf numFmtId="0" fontId="0" fillId="0" borderId="18" xfId="0" applyBorder="1" applyAlignment="1">
      <alignment horizontal="center" vertical="center" wrapText="1"/>
    </xf>
    <xf numFmtId="14" fontId="68" fillId="0" borderId="12" xfId="0" applyNumberFormat="1" applyFont="1" applyBorder="1" applyAlignment="1">
      <alignment wrapText="1"/>
    </xf>
    <xf numFmtId="0" fontId="68" fillId="0" borderId="18" xfId="0" applyFont="1" applyBorder="1" applyAlignment="1">
      <alignment wrapText="1"/>
    </xf>
    <xf numFmtId="14" fontId="68" fillId="0" borderId="10" xfId="0" applyNumberFormat="1" applyFont="1" applyBorder="1" applyAlignment="1">
      <alignment wrapText="1"/>
    </xf>
    <xf numFmtId="0" fontId="68" fillId="0" borderId="10" xfId="0" applyFont="1" applyBorder="1" applyAlignment="1">
      <alignment wrapText="1"/>
    </xf>
    <xf numFmtId="0" fontId="70" fillId="0" borderId="10" xfId="0" applyFont="1" applyFill="1" applyBorder="1" applyAlignment="1">
      <alignment horizontal="left" vertical="center" wrapText="1"/>
    </xf>
    <xf numFmtId="0" fontId="5" fillId="9" borderId="10" xfId="7" applyFont="1" applyFill="1" applyBorder="1" applyAlignment="1">
      <alignment horizontal="center"/>
    </xf>
    <xf numFmtId="0" fontId="4" fillId="0" borderId="10" xfId="7" applyFont="1" applyFill="1" applyBorder="1" applyAlignment="1">
      <alignment horizontal="center"/>
    </xf>
    <xf numFmtId="0" fontId="5" fillId="0" borderId="0" xfId="7" applyFont="1" applyAlignment="1">
      <alignment horizontal="center"/>
    </xf>
    <xf numFmtId="0" fontId="71" fillId="0" borderId="10" xfId="0" applyFont="1" applyFill="1" applyBorder="1" applyAlignment="1">
      <alignment horizontal="left" wrapText="1"/>
    </xf>
    <xf numFmtId="0" fontId="71" fillId="0" borderId="10" xfId="0" applyFont="1" applyBorder="1" applyAlignment="1">
      <alignment horizontal="left"/>
    </xf>
    <xf numFmtId="0" fontId="6" fillId="0" borderId="10" xfId="0" applyFont="1" applyFill="1" applyBorder="1" applyAlignment="1">
      <alignment horizontal="left" wrapText="1"/>
    </xf>
    <xf numFmtId="0" fontId="6" fillId="0" borderId="10" xfId="0" applyFont="1" applyBorder="1" applyAlignment="1">
      <alignment horizontal="left"/>
    </xf>
    <xf numFmtId="0" fontId="11" fillId="12" borderId="15" xfId="0" applyFont="1" applyFill="1" applyBorder="1" applyAlignment="1">
      <alignment horizontal="center"/>
    </xf>
    <xf numFmtId="0" fontId="11" fillId="12" borderId="16" xfId="0" applyFont="1" applyFill="1" applyBorder="1" applyAlignment="1">
      <alignment horizontal="center"/>
    </xf>
    <xf numFmtId="0" fontId="11" fillId="12" borderId="17" xfId="0" applyFont="1" applyFill="1" applyBorder="1" applyAlignment="1">
      <alignment horizontal="center"/>
    </xf>
    <xf numFmtId="0" fontId="4" fillId="0" borderId="0" xfId="0" applyFont="1" applyBorder="1" applyAlignment="1">
      <alignment horizontal="left" wrapText="1"/>
    </xf>
    <xf numFmtId="0" fontId="4" fillId="0" borderId="0" xfId="0" applyFont="1" applyBorder="1" applyAlignment="1">
      <alignment horizontal="left"/>
    </xf>
    <xf numFmtId="0" fontId="2" fillId="0" borderId="0" xfId="0" applyFont="1" applyAlignment="1">
      <alignment wrapText="1"/>
    </xf>
    <xf numFmtId="0" fontId="0" fillId="0" borderId="0" xfId="0" applyAlignment="1">
      <alignment wrapText="1"/>
    </xf>
    <xf numFmtId="0" fontId="2" fillId="0" borderId="10" xfId="0" applyFont="1" applyFill="1" applyBorder="1" applyAlignment="1">
      <alignment horizontal="left" wrapText="1"/>
    </xf>
    <xf numFmtId="0" fontId="37" fillId="0" borderId="10" xfId="0" applyFont="1" applyFill="1" applyBorder="1" applyAlignment="1">
      <alignment horizontal="left" wrapText="1"/>
    </xf>
    <xf numFmtId="0" fontId="4" fillId="10" borderId="12" xfId="0" applyFont="1" applyFill="1" applyBorder="1" applyAlignment="1">
      <alignment horizontal="center"/>
    </xf>
    <xf numFmtId="0" fontId="4" fillId="10" borderId="18" xfId="0" applyFont="1" applyFill="1" applyBorder="1" applyAlignment="1">
      <alignment horizontal="center"/>
    </xf>
    <xf numFmtId="14" fontId="0" fillId="0" borderId="12" xfId="0" applyNumberFormat="1" applyBorder="1" applyAlignment="1"/>
    <xf numFmtId="0" fontId="0" fillId="0" borderId="18" xfId="0" applyBorder="1" applyAlignment="1"/>
    <xf numFmtId="0" fontId="0" fillId="0" borderId="12" xfId="0" applyBorder="1" applyAlignment="1">
      <alignment horizontal="center"/>
    </xf>
    <xf numFmtId="0" fontId="0" fillId="0" borderId="18" xfId="0" applyBorder="1" applyAlignment="1">
      <alignment horizontal="center"/>
    </xf>
    <xf numFmtId="0" fontId="11" fillId="12" borderId="12" xfId="0" applyFont="1" applyFill="1" applyBorder="1" applyAlignment="1">
      <alignment horizontal="center"/>
    </xf>
    <xf numFmtId="0" fontId="11" fillId="12" borderId="19" xfId="0" applyFont="1" applyFill="1" applyBorder="1" applyAlignment="1">
      <alignment horizontal="center"/>
    </xf>
    <xf numFmtId="0" fontId="11" fillId="12" borderId="18" xfId="0" applyFont="1" applyFill="1" applyBorder="1" applyAlignment="1">
      <alignment horizontal="center"/>
    </xf>
    <xf numFmtId="0" fontId="18" fillId="0" borderId="17" xfId="0" applyFont="1" applyBorder="1" applyAlignment="1">
      <alignment horizontal="left" wrapText="1"/>
    </xf>
    <xf numFmtId="0" fontId="4" fillId="0" borderId="20" xfId="0" applyFont="1" applyBorder="1" applyAlignment="1">
      <alignment horizontal="left"/>
    </xf>
    <xf numFmtId="0" fontId="4" fillId="0" borderId="15" xfId="0" applyFont="1" applyBorder="1" applyAlignment="1">
      <alignment horizontal="left"/>
    </xf>
    <xf numFmtId="0" fontId="4" fillId="10" borderId="12" xfId="0" applyFont="1" applyFill="1" applyBorder="1" applyAlignment="1">
      <alignment horizontal="center" wrapText="1"/>
    </xf>
    <xf numFmtId="0" fontId="0" fillId="0" borderId="18" xfId="0" applyBorder="1" applyAlignment="1">
      <alignment horizontal="center" wrapText="1"/>
    </xf>
    <xf numFmtId="0" fontId="35" fillId="17" borderId="0" xfId="0" applyFont="1" applyFill="1" applyAlignment="1">
      <alignment horizontal="center"/>
    </xf>
    <xf numFmtId="0" fontId="14" fillId="17" borderId="0" xfId="0" applyFont="1" applyFill="1" applyAlignment="1">
      <alignment horizontal="center"/>
    </xf>
    <xf numFmtId="0" fontId="39" fillId="17" borderId="0" xfId="0" applyFont="1" applyFill="1" applyAlignment="1">
      <alignment horizontal="center"/>
    </xf>
    <xf numFmtId="0" fontId="38" fillId="0" borderId="0" xfId="0" applyFont="1" applyAlignment="1">
      <alignment wrapText="1"/>
    </xf>
    <xf numFmtId="0" fontId="0" fillId="0" borderId="0" xfId="0" applyAlignment="1"/>
    <xf numFmtId="0" fontId="12" fillId="0" borderId="0" xfId="0" applyFont="1" applyAlignment="1">
      <alignment wrapText="1"/>
    </xf>
    <xf numFmtId="0" fontId="6" fillId="0" borderId="0" xfId="0" applyFont="1" applyAlignment="1">
      <alignment wrapText="1"/>
    </xf>
    <xf numFmtId="0" fontId="65" fillId="0" borderId="0" xfId="0" applyFont="1" applyAlignment="1"/>
    <xf numFmtId="0" fontId="59" fillId="0" borderId="0" xfId="0" applyFont="1" applyAlignment="1"/>
  </cellXfs>
  <cellStyles count="19">
    <cellStyle name="标题" xfId="1" builtinId="15" customBuiltin="1"/>
    <cellStyle name="标题 1" xfId="2" builtinId="16" customBuiltin="1"/>
    <cellStyle name="标题 2" xfId="3" builtinId="17" customBuiltin="1"/>
    <cellStyle name="标题 3" xfId="4" builtinId="18" customBuiltin="1"/>
    <cellStyle name="标题 4" xfId="5" builtinId="19" customBuiltin="1"/>
    <cellStyle name="差" xfId="6" builtinId="27" customBuiltin="1"/>
    <cellStyle name="常规" xfId="0" builtinId="0"/>
    <cellStyle name="常规_SF-124 ISMS文档模板(Excel) V1.0" xfId="7"/>
    <cellStyle name="好" xfId="8" builtinId="26" customBuiltin="1"/>
    <cellStyle name="汇总" xfId="9" builtinId="25" customBuiltin="1"/>
    <cellStyle name="计算" xfId="10" builtinId="22" customBuiltin="1"/>
    <cellStyle name="检查单元格" xfId="11" builtinId="23" customBuiltin="1"/>
    <cellStyle name="解释性文本" xfId="12" builtinId="53" customBuiltin="1"/>
    <cellStyle name="警告文本" xfId="13" builtinId="11" customBuiltin="1"/>
    <cellStyle name="链接单元格" xfId="14" builtinId="24" customBuiltin="1"/>
    <cellStyle name="适中" xfId="15" builtinId="28" customBuiltin="1"/>
    <cellStyle name="输出" xfId="16" builtinId="21" customBuiltin="1"/>
    <cellStyle name="输入" xfId="17" builtinId="20" customBuiltin="1"/>
    <cellStyle name="注释" xfId="18" builtinId="10"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drawings/_rels/drawing3.xml.rels><?xml version="1.0" encoding="UTF-8" standalone="yes"?>
<Relationships xmlns="http://schemas.openxmlformats.org/package/2006/relationships"><Relationship Id="rId1" Type="http://schemas.openxmlformats.org/officeDocument/2006/relationships/image" Target="../media/image3.jpeg"/></Relationships>
</file>

<file path=xl/drawings/_rels/drawing15.xml.rels><?xml version="1.0" encoding="UTF-8" standalone="yes"?>
<Relationships xmlns="http://schemas.openxmlformats.org/package/2006/relationships"><Relationship Id="rId3" Type="http://schemas.openxmlformats.org/officeDocument/2006/relationships/image" Target="../media/image26.png"/><Relationship Id="rId2" Type="http://schemas.openxmlformats.org/officeDocument/2006/relationships/image" Target="../media/image25.png"/><Relationship Id="rId1" Type="http://schemas.openxmlformats.org/officeDocument/2006/relationships/image" Target="../media/image24.png"/><Relationship Id="rId4" Type="http://schemas.openxmlformats.org/officeDocument/2006/relationships/image" Target="../media/image27.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8.v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5.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1.vml.rels><?xml version="1.0" encoding="UTF-8" standalone="yes"?>
<Relationships xmlns="http://schemas.openxmlformats.org/package/2006/relationships"><Relationship Id="rId2" Type="http://schemas.openxmlformats.org/officeDocument/2006/relationships/image" Target="../media/image7.emf"/><Relationship Id="rId1" Type="http://schemas.openxmlformats.org/officeDocument/2006/relationships/image" Target="../media/image8.emf"/></Relationships>
</file>

<file path=xl/drawings/_rels/vmlDrawing12.vml.rels><?xml version="1.0" encoding="UTF-8" standalone="yes"?>
<Relationships xmlns="http://schemas.openxmlformats.org/package/2006/relationships"><Relationship Id="rId2" Type="http://schemas.openxmlformats.org/officeDocument/2006/relationships/image" Target="../media/image9.emf"/><Relationship Id="rId1" Type="http://schemas.openxmlformats.org/officeDocument/2006/relationships/image" Target="../media/image10.emf"/></Relationships>
</file>

<file path=xl/drawings/_rels/vmlDrawing13.vml.rels><?xml version="1.0" encoding="UTF-8" standalone="yes"?>
<Relationships xmlns="http://schemas.openxmlformats.org/package/2006/relationships"><Relationship Id="rId2" Type="http://schemas.openxmlformats.org/officeDocument/2006/relationships/image" Target="../media/image11.emf"/><Relationship Id="rId1" Type="http://schemas.openxmlformats.org/officeDocument/2006/relationships/image" Target="../media/image12.emf"/></Relationships>
</file>

<file path=xl/drawings/_rels/vmlDrawing14.vml.rels><?xml version="1.0" encoding="UTF-8" standalone="yes"?>
<Relationships xmlns="http://schemas.openxmlformats.org/package/2006/relationships"><Relationship Id="rId2" Type="http://schemas.openxmlformats.org/officeDocument/2006/relationships/image" Target="../media/image13.emf"/><Relationship Id="rId1" Type="http://schemas.openxmlformats.org/officeDocument/2006/relationships/image" Target="../media/image14.emf"/></Relationships>
</file>

<file path=xl/drawings/_rels/vmlDrawing15.vml.rels><?xml version="1.0" encoding="UTF-8" standalone="yes"?>
<Relationships xmlns="http://schemas.openxmlformats.org/package/2006/relationships"><Relationship Id="rId2" Type="http://schemas.openxmlformats.org/officeDocument/2006/relationships/image" Target="../media/image15.emf"/><Relationship Id="rId1" Type="http://schemas.openxmlformats.org/officeDocument/2006/relationships/image" Target="../media/image16.emf"/></Relationships>
</file>

<file path=xl/drawings/_rels/vmlDrawing16.vml.rels><?xml version="1.0" encoding="UTF-8" standalone="yes"?>
<Relationships xmlns="http://schemas.openxmlformats.org/package/2006/relationships"><Relationship Id="rId2" Type="http://schemas.openxmlformats.org/officeDocument/2006/relationships/image" Target="../media/image17.emf"/><Relationship Id="rId1" Type="http://schemas.openxmlformats.org/officeDocument/2006/relationships/image" Target="../media/image18.emf"/></Relationships>
</file>

<file path=xl/drawings/_rels/vmlDrawing17.vml.rels><?xml version="1.0" encoding="UTF-8" standalone="yes"?>
<Relationships xmlns="http://schemas.openxmlformats.org/package/2006/relationships"><Relationship Id="rId2" Type="http://schemas.openxmlformats.org/officeDocument/2006/relationships/image" Target="../media/image19.emf"/><Relationship Id="rId1" Type="http://schemas.openxmlformats.org/officeDocument/2006/relationships/image" Target="../media/image20.emf"/></Relationships>
</file>

<file path=xl/drawings/_rels/vmlDrawing18.vml.rels><?xml version="1.0" encoding="UTF-8" standalone="yes"?>
<Relationships xmlns="http://schemas.openxmlformats.org/package/2006/relationships"><Relationship Id="rId2" Type="http://schemas.openxmlformats.org/officeDocument/2006/relationships/image" Target="../media/image21.emf"/><Relationship Id="rId1" Type="http://schemas.openxmlformats.org/officeDocument/2006/relationships/image" Target="../media/image22.emf"/></Relationships>
</file>

<file path=xl/drawings/_rels/vmlDrawing19.vml.rels><?xml version="1.0" encoding="UTF-8" standalone="yes"?>
<Relationships xmlns="http://schemas.openxmlformats.org/package/2006/relationships"><Relationship Id="rId1" Type="http://schemas.openxmlformats.org/officeDocument/2006/relationships/image" Target="../media/image23.emf"/></Relationships>
</file>

<file path=xl/drawings/_rels/vmlDrawing20.vml.rels><?xml version="1.0" encoding="UTF-8" standalone="yes"?>
<Relationships xmlns="http://schemas.openxmlformats.org/package/2006/relationships"><Relationship Id="rId1" Type="http://schemas.openxmlformats.org/officeDocument/2006/relationships/image" Target="../media/image28.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9525</xdr:colOff>
          <xdr:row>1</xdr:row>
          <xdr:rowOff>0</xdr:rowOff>
        </xdr:from>
        <xdr:to>
          <xdr:col>13</xdr:col>
          <xdr:colOff>171450</xdr:colOff>
          <xdr:row>2</xdr:row>
          <xdr:rowOff>57150</xdr:rowOff>
        </xdr:to>
        <xdr:sp macro="" textlink="">
          <xdr:nvSpPr>
            <xdr:cNvPr id="79873" name="CommandButton1" hidden="1">
              <a:extLst>
                <a:ext uri="{63B3BB69-23CF-44E3-9099-C40C66FF867C}">
                  <a14:compatExt spid="_x0000_s7987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9525</xdr:colOff>
          <xdr:row>1</xdr:row>
          <xdr:rowOff>0</xdr:rowOff>
        </xdr:from>
        <xdr:to>
          <xdr:col>13</xdr:col>
          <xdr:colOff>171450</xdr:colOff>
          <xdr:row>2</xdr:row>
          <xdr:rowOff>57150</xdr:rowOff>
        </xdr:to>
        <xdr:sp macro="" textlink="">
          <xdr:nvSpPr>
            <xdr:cNvPr id="76801" name="CommandButton1" hidden="1">
              <a:extLst>
                <a:ext uri="{63B3BB69-23CF-44E3-9099-C40C66FF867C}">
                  <a14:compatExt spid="_x0000_s768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1</xdr:col>
      <xdr:colOff>0</xdr:colOff>
      <xdr:row>2</xdr:row>
      <xdr:rowOff>19050</xdr:rowOff>
    </xdr:from>
    <xdr:to>
      <xdr:col>2</xdr:col>
      <xdr:colOff>0</xdr:colOff>
      <xdr:row>4</xdr:row>
      <xdr:rowOff>133350</xdr:rowOff>
    </xdr:to>
    <xdr:pic>
      <xdr:nvPicPr>
        <xdr:cNvPr id="1229" name="Picture 1" descr="amway logo"/>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38125" y="323850"/>
          <a:ext cx="847725" cy="419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9525</xdr:colOff>
      <xdr:row>28</xdr:row>
      <xdr:rowOff>85725</xdr:rowOff>
    </xdr:from>
    <xdr:to>
      <xdr:col>6</xdr:col>
      <xdr:colOff>57150</xdr:colOff>
      <xdr:row>31</xdr:row>
      <xdr:rowOff>57150</xdr:rowOff>
    </xdr:to>
    <xdr:sp macro="" textlink="">
      <xdr:nvSpPr>
        <xdr:cNvPr id="1026" name="Text Box 2"/>
        <xdr:cNvSpPr txBox="1">
          <a:spLocks noChangeArrowheads="1"/>
        </xdr:cNvSpPr>
      </xdr:nvSpPr>
      <xdr:spPr bwMode="auto">
        <a:xfrm>
          <a:off x="247650" y="4352925"/>
          <a:ext cx="6562725" cy="428625"/>
        </a:xfrm>
        <a:prstGeom prst="rect">
          <a:avLst/>
        </a:prstGeom>
        <a:solidFill>
          <a:srgbClr val="FFFFFF"/>
        </a:solidFill>
        <a:ln w="9525">
          <a:solidFill>
            <a:srgbClr val="000000"/>
          </a:solidFill>
          <a:miter lim="800000"/>
          <a:headEnd/>
          <a:tailEnd/>
        </a:ln>
      </xdr:spPr>
      <xdr:txBody>
        <a:bodyPr vertOverflow="clip" wrap="square" lIns="91440" tIns="45720" rIns="91440" bIns="45720" anchor="t" upright="1"/>
        <a:lstStyle/>
        <a:p>
          <a:pPr algn="l" rtl="0">
            <a:lnSpc>
              <a:spcPts val="1100"/>
            </a:lnSpc>
            <a:defRPr sz="1000"/>
          </a:pPr>
          <a:r>
            <a:rPr lang="zh-CN" altLang="en-US" sz="1050" b="0" i="0" u="none" strike="noStrike" baseline="0">
              <a:solidFill>
                <a:srgbClr val="000000"/>
              </a:solidFill>
              <a:latin typeface="宋体"/>
              <a:ea typeface="宋体"/>
            </a:rPr>
            <a:t>安利（中国）日用品有限公司数据中心保留所有权利。未经版权所有者的书面许可，禁止通过直接复印机、缩微胶片、静电复印术或任何其他方式以任何形式复制本文任何部分。</a:t>
          </a:r>
          <a:endParaRPr lang="zh-CN" altLang="en-US" sz="1050" b="0" i="0" u="none" strike="noStrike" baseline="0">
            <a:solidFill>
              <a:srgbClr val="000000"/>
            </a:solidFill>
            <a:latin typeface="Times New Roman"/>
            <a:ea typeface="宋体"/>
            <a:cs typeface="Times New Roman"/>
          </a:endParaRPr>
        </a:p>
        <a:p>
          <a:pPr algn="l" rtl="0">
            <a:lnSpc>
              <a:spcPts val="1100"/>
            </a:lnSpc>
            <a:defRPr sz="1000"/>
          </a:pPr>
          <a:endParaRPr lang="zh-CN" altLang="en-US"/>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171450</xdr:colOff>
          <xdr:row>1</xdr:row>
          <xdr:rowOff>76200</xdr:rowOff>
        </xdr:from>
        <xdr:to>
          <xdr:col>5</xdr:col>
          <xdr:colOff>485775</xdr:colOff>
          <xdr:row>1</xdr:row>
          <xdr:rowOff>371475</xdr:rowOff>
        </xdr:to>
        <xdr:sp macro="" textlink="">
          <xdr:nvSpPr>
            <xdr:cNvPr id="11265" name="CommandButton1" hidden="1">
              <a:extLst>
                <a:ext uri="{63B3BB69-23CF-44E3-9099-C40C66FF867C}">
                  <a14:compatExt spid="_x0000_s112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695325</xdr:colOff>
          <xdr:row>1</xdr:row>
          <xdr:rowOff>76200</xdr:rowOff>
        </xdr:from>
        <xdr:to>
          <xdr:col>6</xdr:col>
          <xdr:colOff>600075</xdr:colOff>
          <xdr:row>1</xdr:row>
          <xdr:rowOff>361950</xdr:rowOff>
        </xdr:to>
        <xdr:sp macro="" textlink="">
          <xdr:nvSpPr>
            <xdr:cNvPr id="11267" name="CommandButton2" hidden="1">
              <a:extLst>
                <a:ext uri="{63B3BB69-23CF-44E3-9099-C40C66FF867C}">
                  <a14:compatExt spid="_x0000_s1126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9525</xdr:colOff>
          <xdr:row>1</xdr:row>
          <xdr:rowOff>0</xdr:rowOff>
        </xdr:from>
        <xdr:to>
          <xdr:col>13</xdr:col>
          <xdr:colOff>171450</xdr:colOff>
          <xdr:row>2</xdr:row>
          <xdr:rowOff>57150</xdr:rowOff>
        </xdr:to>
        <xdr:sp macro="" textlink="">
          <xdr:nvSpPr>
            <xdr:cNvPr id="102401" name="CommandButton1" hidden="1">
              <a:extLst>
                <a:ext uri="{63B3BB69-23CF-44E3-9099-C40C66FF867C}">
                  <a14:compatExt spid="_x0000_s1024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9525</xdr:colOff>
          <xdr:row>0</xdr:row>
          <xdr:rowOff>0</xdr:rowOff>
        </xdr:from>
        <xdr:to>
          <xdr:col>13</xdr:col>
          <xdr:colOff>171450</xdr:colOff>
          <xdr:row>1</xdr:row>
          <xdr:rowOff>123825</xdr:rowOff>
        </xdr:to>
        <xdr:sp macro="" textlink="">
          <xdr:nvSpPr>
            <xdr:cNvPr id="65537" name="CommandButton1" hidden="1">
              <a:extLst>
                <a:ext uri="{63B3BB69-23CF-44E3-9099-C40C66FF867C}">
                  <a14:compatExt spid="_x0000_s6553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28575</xdr:colOff>
          <xdr:row>0</xdr:row>
          <xdr:rowOff>0</xdr:rowOff>
        </xdr:from>
        <xdr:to>
          <xdr:col>17</xdr:col>
          <xdr:colOff>190500</xdr:colOff>
          <xdr:row>1</xdr:row>
          <xdr:rowOff>123825</xdr:rowOff>
        </xdr:to>
        <xdr:sp macro="" textlink="">
          <xdr:nvSpPr>
            <xdr:cNvPr id="65538" name="CommandButton2" hidden="1">
              <a:extLst>
                <a:ext uri="{63B3BB69-23CF-44E3-9099-C40C66FF867C}">
                  <a14:compatExt spid="_x0000_s655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9525</xdr:colOff>
          <xdr:row>0</xdr:row>
          <xdr:rowOff>0</xdr:rowOff>
        </xdr:from>
        <xdr:to>
          <xdr:col>13</xdr:col>
          <xdr:colOff>171450</xdr:colOff>
          <xdr:row>1</xdr:row>
          <xdr:rowOff>123825</xdr:rowOff>
        </xdr:to>
        <xdr:sp macro="" textlink="">
          <xdr:nvSpPr>
            <xdr:cNvPr id="64513" name="CommandButton1" hidden="1">
              <a:extLst>
                <a:ext uri="{63B3BB69-23CF-44E3-9099-C40C66FF867C}">
                  <a14:compatExt spid="_x0000_s645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28575</xdr:colOff>
          <xdr:row>0</xdr:row>
          <xdr:rowOff>0</xdr:rowOff>
        </xdr:from>
        <xdr:to>
          <xdr:col>17</xdr:col>
          <xdr:colOff>190500</xdr:colOff>
          <xdr:row>1</xdr:row>
          <xdr:rowOff>123825</xdr:rowOff>
        </xdr:to>
        <xdr:sp macro="" textlink="">
          <xdr:nvSpPr>
            <xdr:cNvPr id="64514" name="CommandButton2" hidden="1">
              <a:extLst>
                <a:ext uri="{63B3BB69-23CF-44E3-9099-C40C66FF867C}">
                  <a14:compatExt spid="_x0000_s6451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9525</xdr:colOff>
          <xdr:row>0</xdr:row>
          <xdr:rowOff>0</xdr:rowOff>
        </xdr:from>
        <xdr:to>
          <xdr:col>13</xdr:col>
          <xdr:colOff>171450</xdr:colOff>
          <xdr:row>1</xdr:row>
          <xdr:rowOff>123825</xdr:rowOff>
        </xdr:to>
        <xdr:sp macro="" textlink="">
          <xdr:nvSpPr>
            <xdr:cNvPr id="63489" name="CommandButton1" hidden="1">
              <a:extLst>
                <a:ext uri="{63B3BB69-23CF-44E3-9099-C40C66FF867C}">
                  <a14:compatExt spid="_x0000_s6348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28575</xdr:colOff>
          <xdr:row>0</xdr:row>
          <xdr:rowOff>0</xdr:rowOff>
        </xdr:from>
        <xdr:to>
          <xdr:col>17</xdr:col>
          <xdr:colOff>190500</xdr:colOff>
          <xdr:row>1</xdr:row>
          <xdr:rowOff>123825</xdr:rowOff>
        </xdr:to>
        <xdr:sp macro="" textlink="">
          <xdr:nvSpPr>
            <xdr:cNvPr id="63490" name="CommandButton2" hidden="1">
              <a:extLst>
                <a:ext uri="{63B3BB69-23CF-44E3-9099-C40C66FF867C}">
                  <a14:compatExt spid="_x0000_s6349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9525</xdr:colOff>
          <xdr:row>0</xdr:row>
          <xdr:rowOff>0</xdr:rowOff>
        </xdr:from>
        <xdr:to>
          <xdr:col>13</xdr:col>
          <xdr:colOff>171450</xdr:colOff>
          <xdr:row>1</xdr:row>
          <xdr:rowOff>123825</xdr:rowOff>
        </xdr:to>
        <xdr:sp macro="" textlink="">
          <xdr:nvSpPr>
            <xdr:cNvPr id="62465" name="CommandButton1" hidden="1">
              <a:extLst>
                <a:ext uri="{63B3BB69-23CF-44E3-9099-C40C66FF867C}">
                  <a14:compatExt spid="_x0000_s624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28575</xdr:colOff>
          <xdr:row>0</xdr:row>
          <xdr:rowOff>0</xdr:rowOff>
        </xdr:from>
        <xdr:to>
          <xdr:col>17</xdr:col>
          <xdr:colOff>190500</xdr:colOff>
          <xdr:row>1</xdr:row>
          <xdr:rowOff>123825</xdr:rowOff>
        </xdr:to>
        <xdr:sp macro="" textlink="">
          <xdr:nvSpPr>
            <xdr:cNvPr id="62466" name="CommandButton2" hidden="1">
              <a:extLst>
                <a:ext uri="{63B3BB69-23CF-44E3-9099-C40C66FF867C}">
                  <a14:compatExt spid="_x0000_s624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9525</xdr:colOff>
          <xdr:row>0</xdr:row>
          <xdr:rowOff>0</xdr:rowOff>
        </xdr:from>
        <xdr:to>
          <xdr:col>13</xdr:col>
          <xdr:colOff>171450</xdr:colOff>
          <xdr:row>1</xdr:row>
          <xdr:rowOff>123825</xdr:rowOff>
        </xdr:to>
        <xdr:sp macro="" textlink="">
          <xdr:nvSpPr>
            <xdr:cNvPr id="61441" name="CommandButton1" hidden="1">
              <a:extLst>
                <a:ext uri="{63B3BB69-23CF-44E3-9099-C40C66FF867C}">
                  <a14:compatExt spid="_x0000_s614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28575</xdr:colOff>
          <xdr:row>0</xdr:row>
          <xdr:rowOff>0</xdr:rowOff>
        </xdr:from>
        <xdr:to>
          <xdr:col>17</xdr:col>
          <xdr:colOff>190500</xdr:colOff>
          <xdr:row>1</xdr:row>
          <xdr:rowOff>123825</xdr:rowOff>
        </xdr:to>
        <xdr:sp macro="" textlink="">
          <xdr:nvSpPr>
            <xdr:cNvPr id="61442" name="CommandButton2" hidden="1">
              <a:extLst>
                <a:ext uri="{63B3BB69-23CF-44E3-9099-C40C66FF867C}">
                  <a14:compatExt spid="_x0000_s614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9525</xdr:colOff>
          <xdr:row>0</xdr:row>
          <xdr:rowOff>0</xdr:rowOff>
        </xdr:from>
        <xdr:to>
          <xdr:col>13</xdr:col>
          <xdr:colOff>171450</xdr:colOff>
          <xdr:row>1</xdr:row>
          <xdr:rowOff>123825</xdr:rowOff>
        </xdr:to>
        <xdr:sp macro="" textlink="">
          <xdr:nvSpPr>
            <xdr:cNvPr id="59393" name="CommandButton1" hidden="1">
              <a:extLst>
                <a:ext uri="{63B3BB69-23CF-44E3-9099-C40C66FF867C}">
                  <a14:compatExt spid="_x0000_s593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28575</xdr:colOff>
          <xdr:row>0</xdr:row>
          <xdr:rowOff>0</xdr:rowOff>
        </xdr:from>
        <xdr:to>
          <xdr:col>17</xdr:col>
          <xdr:colOff>190500</xdr:colOff>
          <xdr:row>1</xdr:row>
          <xdr:rowOff>123825</xdr:rowOff>
        </xdr:to>
        <xdr:sp macro="" textlink="">
          <xdr:nvSpPr>
            <xdr:cNvPr id="59394" name="CommandButton2" hidden="1">
              <a:extLst>
                <a:ext uri="{63B3BB69-23CF-44E3-9099-C40C66FF867C}">
                  <a14:compatExt spid="_x0000_s593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9525</xdr:colOff>
          <xdr:row>0</xdr:row>
          <xdr:rowOff>0</xdr:rowOff>
        </xdr:from>
        <xdr:to>
          <xdr:col>13</xdr:col>
          <xdr:colOff>171450</xdr:colOff>
          <xdr:row>1</xdr:row>
          <xdr:rowOff>123825</xdr:rowOff>
        </xdr:to>
        <xdr:sp macro="" textlink="">
          <xdr:nvSpPr>
            <xdr:cNvPr id="58369" name="CommandButton1" hidden="1">
              <a:extLst>
                <a:ext uri="{63B3BB69-23CF-44E3-9099-C40C66FF867C}">
                  <a14:compatExt spid="_x0000_s5836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28575</xdr:colOff>
          <xdr:row>0</xdr:row>
          <xdr:rowOff>0</xdr:rowOff>
        </xdr:from>
        <xdr:to>
          <xdr:col>17</xdr:col>
          <xdr:colOff>190500</xdr:colOff>
          <xdr:row>1</xdr:row>
          <xdr:rowOff>123825</xdr:rowOff>
        </xdr:to>
        <xdr:sp macro="" textlink="">
          <xdr:nvSpPr>
            <xdr:cNvPr id="58370" name="CommandButton2" hidden="1">
              <a:extLst>
                <a:ext uri="{63B3BB69-23CF-44E3-9099-C40C66FF867C}">
                  <a14:compatExt spid="_x0000_s5837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9525</xdr:colOff>
          <xdr:row>0</xdr:row>
          <xdr:rowOff>0</xdr:rowOff>
        </xdr:from>
        <xdr:to>
          <xdr:col>13</xdr:col>
          <xdr:colOff>171450</xdr:colOff>
          <xdr:row>1</xdr:row>
          <xdr:rowOff>123825</xdr:rowOff>
        </xdr:to>
        <xdr:sp macro="" textlink="">
          <xdr:nvSpPr>
            <xdr:cNvPr id="8196" name="CommandButton1" hidden="1">
              <a:extLst>
                <a:ext uri="{63B3BB69-23CF-44E3-9099-C40C66FF867C}">
                  <a14:compatExt spid="_x0000_s81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28575</xdr:colOff>
          <xdr:row>0</xdr:row>
          <xdr:rowOff>0</xdr:rowOff>
        </xdr:from>
        <xdr:to>
          <xdr:col>17</xdr:col>
          <xdr:colOff>190500</xdr:colOff>
          <xdr:row>1</xdr:row>
          <xdr:rowOff>123825</xdr:rowOff>
        </xdr:to>
        <xdr:sp macro="" textlink="">
          <xdr:nvSpPr>
            <xdr:cNvPr id="8208" name="CommandButton2" hidden="1">
              <a:extLst>
                <a:ext uri="{63B3BB69-23CF-44E3-9099-C40C66FF867C}">
                  <a14:compatExt spid="_x0000_s820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438150</xdr:colOff>
          <xdr:row>0</xdr:row>
          <xdr:rowOff>57150</xdr:rowOff>
        </xdr:from>
        <xdr:to>
          <xdr:col>5</xdr:col>
          <xdr:colOff>457200</xdr:colOff>
          <xdr:row>2</xdr:row>
          <xdr:rowOff>19050</xdr:rowOff>
        </xdr:to>
        <xdr:sp macro="" textlink="">
          <xdr:nvSpPr>
            <xdr:cNvPr id="48129" name="CommandButton3" hidden="1">
              <a:extLst>
                <a:ext uri="{63B3BB69-23CF-44E3-9099-C40C66FF867C}">
                  <a14:compatExt spid="_x0000_s4812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5.xml><?xml version="1.0" encoding="utf-8"?>
<xdr:wsDr xmlns:xdr="http://schemas.openxmlformats.org/drawingml/2006/spreadsheetDrawing" xmlns:a="http://schemas.openxmlformats.org/drawingml/2006/main">
  <xdr:twoCellAnchor>
    <xdr:from>
      <xdr:col>0</xdr:col>
      <xdr:colOff>19050</xdr:colOff>
      <xdr:row>3</xdr:row>
      <xdr:rowOff>9525</xdr:rowOff>
    </xdr:from>
    <xdr:to>
      <xdr:col>14</xdr:col>
      <xdr:colOff>561975</xdr:colOff>
      <xdr:row>36</xdr:row>
      <xdr:rowOff>9525</xdr:rowOff>
    </xdr:to>
    <xdr:sp macro="" textlink="">
      <xdr:nvSpPr>
        <xdr:cNvPr id="42783" name="Rectangle 4"/>
        <xdr:cNvSpPr>
          <a:spLocks noChangeArrowheads="1"/>
        </xdr:cNvSpPr>
      </xdr:nvSpPr>
      <xdr:spPr bwMode="auto">
        <a:xfrm>
          <a:off x="19050" y="866775"/>
          <a:ext cx="9077325" cy="5314950"/>
        </a:xfrm>
        <a:prstGeom prst="rect">
          <a:avLst/>
        </a:prstGeom>
        <a:solidFill>
          <a:srgbClr xmlns:mc="http://schemas.openxmlformats.org/markup-compatibility/2006" xmlns:a14="http://schemas.microsoft.com/office/drawing/2010/main" val="000000" mc:Ignorable="a14" a14:legacySpreadsheetColorIndex="8"/>
        </a:solidFill>
        <a:ln w="25400">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editAs="oneCell">
    <xdr:from>
      <xdr:col>0</xdr:col>
      <xdr:colOff>133350</xdr:colOff>
      <xdr:row>94</xdr:row>
      <xdr:rowOff>152400</xdr:rowOff>
    </xdr:from>
    <xdr:to>
      <xdr:col>6</xdr:col>
      <xdr:colOff>9525</xdr:colOff>
      <xdr:row>124</xdr:row>
      <xdr:rowOff>19050</xdr:rowOff>
    </xdr:to>
    <xdr:pic>
      <xdr:nvPicPr>
        <xdr:cNvPr id="42784" name="Picture 1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3350" y="17002125"/>
          <a:ext cx="3533775" cy="4724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66675</xdr:colOff>
      <xdr:row>73</xdr:row>
      <xdr:rowOff>28575</xdr:rowOff>
    </xdr:from>
    <xdr:to>
      <xdr:col>5</xdr:col>
      <xdr:colOff>476250</xdr:colOff>
      <xdr:row>91</xdr:row>
      <xdr:rowOff>142875</xdr:rowOff>
    </xdr:to>
    <xdr:pic>
      <xdr:nvPicPr>
        <xdr:cNvPr id="42785" name="Picture 11"/>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6675" y="13020675"/>
          <a:ext cx="3457575" cy="3028950"/>
        </a:xfrm>
        <a:prstGeom prst="rect">
          <a:avLst/>
        </a:prstGeom>
        <a:noFill/>
        <a:ln>
          <a:noFill/>
        </a:ln>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1</xdr:col>
      <xdr:colOff>9525</xdr:colOff>
      <xdr:row>84</xdr:row>
      <xdr:rowOff>85725</xdr:rowOff>
    </xdr:from>
    <xdr:to>
      <xdr:col>1</xdr:col>
      <xdr:colOff>476250</xdr:colOff>
      <xdr:row>87</xdr:row>
      <xdr:rowOff>38100</xdr:rowOff>
    </xdr:to>
    <xdr:sp macro="" textlink="">
      <xdr:nvSpPr>
        <xdr:cNvPr id="42786" name="Oval 12"/>
        <xdr:cNvSpPr>
          <a:spLocks noChangeArrowheads="1"/>
        </xdr:cNvSpPr>
      </xdr:nvSpPr>
      <xdr:spPr bwMode="auto">
        <a:xfrm>
          <a:off x="619125" y="14859000"/>
          <a:ext cx="466725" cy="438150"/>
        </a:xfrm>
        <a:prstGeom prst="ellipse">
          <a:avLst/>
        </a:prstGeom>
        <a:noFill/>
        <a:ln w="19050">
          <a:solidFill>
            <a:srgbClr xmlns:mc="http://schemas.openxmlformats.org/markup-compatibility/2006" xmlns:a14="http://schemas.microsoft.com/office/drawing/2010/main" val="FF0000" mc:Ignorable="a14" a14:legacySpreadsheetColorIndex="10"/>
          </a:solidFill>
          <a:round/>
          <a:headEnd/>
          <a:tailEnd/>
        </a:ln>
        <a:extLst>
          <a:ext uri="{909E8E84-426E-40DD-AFC4-6F175D3DCCD1}">
            <a14:hiddenFill xmlns:a14="http://schemas.microsoft.com/office/drawing/2010/main">
              <a:solidFill>
                <a:srgbClr xmlns:mc="http://schemas.openxmlformats.org/markup-compatibility/2006" val="FFFF00" mc:Ignorable="a14" a14:legacySpreadsheetColorIndex="13"/>
              </a:solidFill>
            </a14:hiddenFill>
          </a:ext>
        </a:extLst>
      </xdr:spPr>
    </xdr:sp>
    <xdr:clientData/>
  </xdr:twoCellAnchor>
  <xdr:twoCellAnchor>
    <xdr:from>
      <xdr:col>3</xdr:col>
      <xdr:colOff>285750</xdr:colOff>
      <xdr:row>95</xdr:row>
      <xdr:rowOff>76200</xdr:rowOff>
    </xdr:from>
    <xdr:to>
      <xdr:col>4</xdr:col>
      <xdr:colOff>180975</xdr:colOff>
      <xdr:row>98</xdr:row>
      <xdr:rowOff>9525</xdr:rowOff>
    </xdr:to>
    <xdr:sp macro="" textlink="">
      <xdr:nvSpPr>
        <xdr:cNvPr id="42787" name="Oval 13"/>
        <xdr:cNvSpPr>
          <a:spLocks noChangeArrowheads="1"/>
        </xdr:cNvSpPr>
      </xdr:nvSpPr>
      <xdr:spPr bwMode="auto">
        <a:xfrm>
          <a:off x="2114550" y="17087850"/>
          <a:ext cx="504825" cy="419100"/>
        </a:xfrm>
        <a:prstGeom prst="ellipse">
          <a:avLst/>
        </a:prstGeom>
        <a:noFill/>
        <a:ln w="19050">
          <a:solidFill>
            <a:srgbClr xmlns:mc="http://schemas.openxmlformats.org/markup-compatibility/2006" xmlns:a14="http://schemas.microsoft.com/office/drawing/2010/main" val="FF0000" mc:Ignorable="a14" a14:legacySpreadsheetColorIndex="10"/>
          </a:solidFill>
          <a:round/>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0</xdr:col>
      <xdr:colOff>257175</xdr:colOff>
      <xdr:row>108</xdr:row>
      <xdr:rowOff>38100</xdr:rowOff>
    </xdr:from>
    <xdr:to>
      <xdr:col>2</xdr:col>
      <xdr:colOff>276225</xdr:colOff>
      <xdr:row>110</xdr:row>
      <xdr:rowOff>104775</xdr:rowOff>
    </xdr:to>
    <xdr:sp macro="" textlink="">
      <xdr:nvSpPr>
        <xdr:cNvPr id="42788" name="Rectangle 15"/>
        <xdr:cNvSpPr>
          <a:spLocks noChangeArrowheads="1"/>
        </xdr:cNvSpPr>
      </xdr:nvSpPr>
      <xdr:spPr bwMode="auto">
        <a:xfrm>
          <a:off x="257175" y="19154775"/>
          <a:ext cx="1238250" cy="390525"/>
        </a:xfrm>
        <a:prstGeom prst="rect">
          <a:avLst/>
        </a:prstGeom>
        <a:noFill/>
        <a:ln w="19050">
          <a:solidFill>
            <a:srgbClr xmlns:mc="http://schemas.openxmlformats.org/markup-compatibility/2006" xmlns:a14="http://schemas.microsoft.com/office/drawing/2010/main" val="FF0000" mc:Ignorable="a14" a14:legacySpreadsheetColorIndex="10"/>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editAs="oneCell">
    <xdr:from>
      <xdr:col>0</xdr:col>
      <xdr:colOff>66675</xdr:colOff>
      <xdr:row>3</xdr:row>
      <xdr:rowOff>57150</xdr:rowOff>
    </xdr:from>
    <xdr:to>
      <xdr:col>14</xdr:col>
      <xdr:colOff>504825</xdr:colOff>
      <xdr:row>35</xdr:row>
      <xdr:rowOff>38100</xdr:rowOff>
    </xdr:to>
    <xdr:pic>
      <xdr:nvPicPr>
        <xdr:cNvPr id="42789" name="Picture 17"/>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675" y="914400"/>
          <a:ext cx="8972550" cy="51625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38</xdr:row>
      <xdr:rowOff>19050</xdr:rowOff>
    </xdr:from>
    <xdr:to>
      <xdr:col>13</xdr:col>
      <xdr:colOff>28575</xdr:colOff>
      <xdr:row>68</xdr:row>
      <xdr:rowOff>133350</xdr:rowOff>
    </xdr:to>
    <xdr:pic>
      <xdr:nvPicPr>
        <xdr:cNvPr id="10" name="图片 9"/>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0" y="6581775"/>
          <a:ext cx="7953375" cy="4972050"/>
        </a:xfrm>
        <a:prstGeom prst="rect">
          <a:avLst/>
        </a:prstGeom>
        <a:noFill/>
        <a:ln>
          <a:solidFill>
            <a:schemeClr val="tx1">
              <a:alpha val="48000"/>
            </a:schemeClr>
          </a:solidFill>
        </a:ln>
        <a:effectLst>
          <a:innerShdw blurRad="63500" dist="50800" dir="2700000">
            <a:prstClr val="black">
              <a:alpha val="50000"/>
            </a:prstClr>
          </a:innerShdw>
        </a:effectLst>
        <a:scene3d>
          <a:camera prst="orthographicFront"/>
          <a:lightRig rig="threePt" dir="t"/>
        </a:scene3d>
        <a:sp3d extrusionH="76200">
          <a:extrusionClr>
            <a:schemeClr val="tx1"/>
          </a:extrusionClr>
        </a:sp3d>
        <a:extLst>
          <a:ext uri="{909E8E84-426E-40DD-AFC4-6F175D3DCCD1}">
            <a14:hiddenFill xmlns:a14="http://schemas.microsoft.com/office/drawing/2010/main">
              <a:solidFill>
                <a:srgbClr val="FFFFFF"/>
              </a:solidFill>
            </a14:hiddenFill>
          </a:ext>
        </a:extLst>
      </xdr:spPr>
    </xdr:pic>
    <xdr:clientData/>
  </xdr:twoCellAnchor>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438150</xdr:colOff>
          <xdr:row>0</xdr:row>
          <xdr:rowOff>57150</xdr:rowOff>
        </xdr:from>
        <xdr:to>
          <xdr:col>5</xdr:col>
          <xdr:colOff>542925</xdr:colOff>
          <xdr:row>1</xdr:row>
          <xdr:rowOff>152400</xdr:rowOff>
        </xdr:to>
        <xdr:sp macro="" textlink="">
          <xdr:nvSpPr>
            <xdr:cNvPr id="49153" name="CommandButton3" hidden="1">
              <a:extLst>
                <a:ext uri="{63B3BB69-23CF-44E3-9099-C40C66FF867C}">
                  <a14:compatExt spid="_x0000_s4915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mments" Target="../comments1.xml"/><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mments" Target="../comments2.xml"/><Relationship Id="rId5" Type="http://schemas.openxmlformats.org/officeDocument/2006/relationships/image" Target="../media/image2.emf"/><Relationship Id="rId4" Type="http://schemas.openxmlformats.org/officeDocument/2006/relationships/control" Target="../activeX/activeX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8" Type="http://schemas.openxmlformats.org/officeDocument/2006/relationships/comments" Target="../comments8.xml"/><Relationship Id="rId3" Type="http://schemas.openxmlformats.org/officeDocument/2006/relationships/vmlDrawing" Target="../drawings/vmlDrawing8.vml"/><Relationship Id="rId7" Type="http://schemas.openxmlformats.org/officeDocument/2006/relationships/image" Target="../media/image5.emf"/><Relationship Id="rId2" Type="http://schemas.openxmlformats.org/officeDocument/2006/relationships/drawing" Target="../drawings/drawing4.xml"/><Relationship Id="rId1" Type="http://schemas.openxmlformats.org/officeDocument/2006/relationships/printerSettings" Target="../printerSettings/printerSettings9.bin"/><Relationship Id="rId6" Type="http://schemas.openxmlformats.org/officeDocument/2006/relationships/control" Target="../activeX/activeX4.xml"/><Relationship Id="rId5" Type="http://schemas.openxmlformats.org/officeDocument/2006/relationships/image" Target="../media/image4.emf"/><Relationship Id="rId4" Type="http://schemas.openxmlformats.org/officeDocument/2006/relationships/control" Target="../activeX/activeX3.xml"/></Relationships>
</file>

<file path=xl/worksheets/_rels/sheet10.xml.rels><?xml version="1.0" encoding="UTF-8" standalone="yes"?>
<Relationships xmlns="http://schemas.openxmlformats.org/package/2006/relationships"><Relationship Id="rId2" Type="http://schemas.openxmlformats.org/officeDocument/2006/relationships/comments" Target="../comments9.xml"/><Relationship Id="rId1" Type="http://schemas.openxmlformats.org/officeDocument/2006/relationships/vmlDrawing" Target="../drawings/vmlDrawing9.v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5.xml"/><Relationship Id="rId1" Type="http://schemas.openxmlformats.org/officeDocument/2006/relationships/printerSettings" Target="../printerSettings/printerSettings10.bin"/><Relationship Id="rId6" Type="http://schemas.openxmlformats.org/officeDocument/2006/relationships/comments" Target="../comments10.xml"/><Relationship Id="rId5" Type="http://schemas.openxmlformats.org/officeDocument/2006/relationships/image" Target="../media/image6.emf"/><Relationship Id="rId4" Type="http://schemas.openxmlformats.org/officeDocument/2006/relationships/control" Target="../activeX/activeX5.xml"/></Relationships>
</file>

<file path=xl/worksheets/_rels/sheet12.xml.rels><?xml version="1.0" encoding="UTF-8" standalone="yes"?>
<Relationships xmlns="http://schemas.openxmlformats.org/package/2006/relationships"><Relationship Id="rId8" Type="http://schemas.openxmlformats.org/officeDocument/2006/relationships/comments" Target="../comments11.xml"/><Relationship Id="rId3" Type="http://schemas.openxmlformats.org/officeDocument/2006/relationships/vmlDrawing" Target="../drawings/vmlDrawing11.vml"/><Relationship Id="rId7" Type="http://schemas.openxmlformats.org/officeDocument/2006/relationships/image" Target="../media/image8.emf"/><Relationship Id="rId2" Type="http://schemas.openxmlformats.org/officeDocument/2006/relationships/drawing" Target="../drawings/drawing6.xml"/><Relationship Id="rId1" Type="http://schemas.openxmlformats.org/officeDocument/2006/relationships/printerSettings" Target="../printerSettings/printerSettings11.bin"/><Relationship Id="rId6" Type="http://schemas.openxmlformats.org/officeDocument/2006/relationships/control" Target="../activeX/activeX7.xml"/><Relationship Id="rId5" Type="http://schemas.openxmlformats.org/officeDocument/2006/relationships/image" Target="../media/image7.emf"/><Relationship Id="rId4" Type="http://schemas.openxmlformats.org/officeDocument/2006/relationships/control" Target="../activeX/activeX6.xml"/></Relationships>
</file>

<file path=xl/worksheets/_rels/sheet13.xml.rels><?xml version="1.0" encoding="UTF-8" standalone="yes"?>
<Relationships xmlns="http://schemas.openxmlformats.org/package/2006/relationships"><Relationship Id="rId8" Type="http://schemas.openxmlformats.org/officeDocument/2006/relationships/comments" Target="../comments12.xml"/><Relationship Id="rId3" Type="http://schemas.openxmlformats.org/officeDocument/2006/relationships/vmlDrawing" Target="../drawings/vmlDrawing12.vml"/><Relationship Id="rId7" Type="http://schemas.openxmlformats.org/officeDocument/2006/relationships/image" Target="../media/image10.emf"/><Relationship Id="rId2" Type="http://schemas.openxmlformats.org/officeDocument/2006/relationships/drawing" Target="../drawings/drawing7.xml"/><Relationship Id="rId1" Type="http://schemas.openxmlformats.org/officeDocument/2006/relationships/printerSettings" Target="../printerSettings/printerSettings12.bin"/><Relationship Id="rId6" Type="http://schemas.openxmlformats.org/officeDocument/2006/relationships/control" Target="../activeX/activeX9.xml"/><Relationship Id="rId5" Type="http://schemas.openxmlformats.org/officeDocument/2006/relationships/image" Target="../media/image9.emf"/><Relationship Id="rId4" Type="http://schemas.openxmlformats.org/officeDocument/2006/relationships/control" Target="../activeX/activeX8.xml"/></Relationships>
</file>

<file path=xl/worksheets/_rels/sheet14.xml.rels><?xml version="1.0" encoding="UTF-8" standalone="yes"?>
<Relationships xmlns="http://schemas.openxmlformats.org/package/2006/relationships"><Relationship Id="rId8" Type="http://schemas.openxmlformats.org/officeDocument/2006/relationships/comments" Target="../comments13.xml"/><Relationship Id="rId3" Type="http://schemas.openxmlformats.org/officeDocument/2006/relationships/vmlDrawing" Target="../drawings/vmlDrawing13.vml"/><Relationship Id="rId7" Type="http://schemas.openxmlformats.org/officeDocument/2006/relationships/image" Target="../media/image12.emf"/><Relationship Id="rId2" Type="http://schemas.openxmlformats.org/officeDocument/2006/relationships/drawing" Target="../drawings/drawing8.xml"/><Relationship Id="rId1" Type="http://schemas.openxmlformats.org/officeDocument/2006/relationships/printerSettings" Target="../printerSettings/printerSettings13.bin"/><Relationship Id="rId6" Type="http://schemas.openxmlformats.org/officeDocument/2006/relationships/control" Target="../activeX/activeX11.xml"/><Relationship Id="rId5" Type="http://schemas.openxmlformats.org/officeDocument/2006/relationships/image" Target="../media/image11.emf"/><Relationship Id="rId4" Type="http://schemas.openxmlformats.org/officeDocument/2006/relationships/control" Target="../activeX/activeX10.xml"/></Relationships>
</file>

<file path=xl/worksheets/_rels/sheet15.xml.rels><?xml version="1.0" encoding="UTF-8" standalone="yes"?>
<Relationships xmlns="http://schemas.openxmlformats.org/package/2006/relationships"><Relationship Id="rId8" Type="http://schemas.openxmlformats.org/officeDocument/2006/relationships/comments" Target="../comments14.xml"/><Relationship Id="rId3" Type="http://schemas.openxmlformats.org/officeDocument/2006/relationships/vmlDrawing" Target="../drawings/vmlDrawing14.vml"/><Relationship Id="rId7" Type="http://schemas.openxmlformats.org/officeDocument/2006/relationships/image" Target="../media/image14.emf"/><Relationship Id="rId2" Type="http://schemas.openxmlformats.org/officeDocument/2006/relationships/drawing" Target="../drawings/drawing9.xml"/><Relationship Id="rId1" Type="http://schemas.openxmlformats.org/officeDocument/2006/relationships/printerSettings" Target="../printerSettings/printerSettings14.bin"/><Relationship Id="rId6" Type="http://schemas.openxmlformats.org/officeDocument/2006/relationships/control" Target="../activeX/activeX13.xml"/><Relationship Id="rId5" Type="http://schemas.openxmlformats.org/officeDocument/2006/relationships/image" Target="../media/image13.emf"/><Relationship Id="rId4" Type="http://schemas.openxmlformats.org/officeDocument/2006/relationships/control" Target="../activeX/activeX12.xml"/></Relationships>
</file>

<file path=xl/worksheets/_rels/sheet16.xml.rels><?xml version="1.0" encoding="UTF-8" standalone="yes"?>
<Relationships xmlns="http://schemas.openxmlformats.org/package/2006/relationships"><Relationship Id="rId8" Type="http://schemas.openxmlformats.org/officeDocument/2006/relationships/comments" Target="../comments15.xml"/><Relationship Id="rId3" Type="http://schemas.openxmlformats.org/officeDocument/2006/relationships/vmlDrawing" Target="../drawings/vmlDrawing15.vml"/><Relationship Id="rId7" Type="http://schemas.openxmlformats.org/officeDocument/2006/relationships/image" Target="../media/image16.emf"/><Relationship Id="rId2" Type="http://schemas.openxmlformats.org/officeDocument/2006/relationships/drawing" Target="../drawings/drawing10.xml"/><Relationship Id="rId1" Type="http://schemas.openxmlformats.org/officeDocument/2006/relationships/printerSettings" Target="../printerSettings/printerSettings15.bin"/><Relationship Id="rId6" Type="http://schemas.openxmlformats.org/officeDocument/2006/relationships/control" Target="../activeX/activeX15.xml"/><Relationship Id="rId5" Type="http://schemas.openxmlformats.org/officeDocument/2006/relationships/image" Target="../media/image15.emf"/><Relationship Id="rId4" Type="http://schemas.openxmlformats.org/officeDocument/2006/relationships/control" Target="../activeX/activeX14.xml"/></Relationships>
</file>

<file path=xl/worksheets/_rels/sheet17.xml.rels><?xml version="1.0" encoding="UTF-8" standalone="yes"?>
<Relationships xmlns="http://schemas.openxmlformats.org/package/2006/relationships"><Relationship Id="rId8" Type="http://schemas.openxmlformats.org/officeDocument/2006/relationships/comments" Target="../comments16.xml"/><Relationship Id="rId3" Type="http://schemas.openxmlformats.org/officeDocument/2006/relationships/vmlDrawing" Target="../drawings/vmlDrawing16.vml"/><Relationship Id="rId7" Type="http://schemas.openxmlformats.org/officeDocument/2006/relationships/image" Target="../media/image18.emf"/><Relationship Id="rId2" Type="http://schemas.openxmlformats.org/officeDocument/2006/relationships/drawing" Target="../drawings/drawing11.xml"/><Relationship Id="rId1" Type="http://schemas.openxmlformats.org/officeDocument/2006/relationships/printerSettings" Target="../printerSettings/printerSettings16.bin"/><Relationship Id="rId6" Type="http://schemas.openxmlformats.org/officeDocument/2006/relationships/control" Target="../activeX/activeX17.xml"/><Relationship Id="rId5" Type="http://schemas.openxmlformats.org/officeDocument/2006/relationships/image" Target="../media/image17.emf"/><Relationship Id="rId4" Type="http://schemas.openxmlformats.org/officeDocument/2006/relationships/control" Target="../activeX/activeX16.xml"/></Relationships>
</file>

<file path=xl/worksheets/_rels/sheet18.xml.rels><?xml version="1.0" encoding="UTF-8" standalone="yes"?>
<Relationships xmlns="http://schemas.openxmlformats.org/package/2006/relationships"><Relationship Id="rId8" Type="http://schemas.openxmlformats.org/officeDocument/2006/relationships/comments" Target="../comments17.xml"/><Relationship Id="rId3" Type="http://schemas.openxmlformats.org/officeDocument/2006/relationships/vmlDrawing" Target="../drawings/vmlDrawing17.vml"/><Relationship Id="rId7" Type="http://schemas.openxmlformats.org/officeDocument/2006/relationships/image" Target="../media/image20.emf"/><Relationship Id="rId2" Type="http://schemas.openxmlformats.org/officeDocument/2006/relationships/drawing" Target="../drawings/drawing12.xml"/><Relationship Id="rId1" Type="http://schemas.openxmlformats.org/officeDocument/2006/relationships/printerSettings" Target="../printerSettings/printerSettings17.bin"/><Relationship Id="rId6" Type="http://schemas.openxmlformats.org/officeDocument/2006/relationships/control" Target="../activeX/activeX19.xml"/><Relationship Id="rId5" Type="http://schemas.openxmlformats.org/officeDocument/2006/relationships/image" Target="../media/image19.emf"/><Relationship Id="rId4" Type="http://schemas.openxmlformats.org/officeDocument/2006/relationships/control" Target="../activeX/activeX18.xml"/></Relationships>
</file>

<file path=xl/worksheets/_rels/sheet19.xml.rels><?xml version="1.0" encoding="UTF-8" standalone="yes"?>
<Relationships xmlns="http://schemas.openxmlformats.org/package/2006/relationships"><Relationship Id="rId8" Type="http://schemas.openxmlformats.org/officeDocument/2006/relationships/comments" Target="../comments18.xml"/><Relationship Id="rId3" Type="http://schemas.openxmlformats.org/officeDocument/2006/relationships/vmlDrawing" Target="../drawings/vmlDrawing18.vml"/><Relationship Id="rId7" Type="http://schemas.openxmlformats.org/officeDocument/2006/relationships/image" Target="../media/image22.emf"/><Relationship Id="rId2" Type="http://schemas.openxmlformats.org/officeDocument/2006/relationships/drawing" Target="../drawings/drawing13.xml"/><Relationship Id="rId1" Type="http://schemas.openxmlformats.org/officeDocument/2006/relationships/printerSettings" Target="../printerSettings/printerSettings18.bin"/><Relationship Id="rId6" Type="http://schemas.openxmlformats.org/officeDocument/2006/relationships/control" Target="../activeX/activeX21.xml"/><Relationship Id="rId5" Type="http://schemas.openxmlformats.org/officeDocument/2006/relationships/image" Target="../media/image21.emf"/><Relationship Id="rId4" Type="http://schemas.openxmlformats.org/officeDocument/2006/relationships/control" Target="../activeX/activeX20.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14.xml"/><Relationship Id="rId1" Type="http://schemas.openxmlformats.org/officeDocument/2006/relationships/printerSettings" Target="../printerSettings/printerSettings19.bin"/><Relationship Id="rId5" Type="http://schemas.openxmlformats.org/officeDocument/2006/relationships/image" Target="../media/image23.emf"/><Relationship Id="rId4" Type="http://schemas.openxmlformats.org/officeDocument/2006/relationships/control" Target="../activeX/activeX22.xml"/></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20.bin"/></Relationships>
</file>

<file path=xl/worksheets/_rels/sheet23.xml.rels><?xml version="1.0" encoding="UTF-8" standalone="yes"?>
<Relationships xmlns="http://schemas.openxmlformats.org/package/2006/relationships"><Relationship Id="rId3" Type="http://schemas.openxmlformats.org/officeDocument/2006/relationships/control" Target="../activeX/activeX23.xml"/><Relationship Id="rId2" Type="http://schemas.openxmlformats.org/officeDocument/2006/relationships/vmlDrawing" Target="../drawings/vmlDrawing20.vml"/><Relationship Id="rId1" Type="http://schemas.openxmlformats.org/officeDocument/2006/relationships/drawing" Target="../drawings/drawing16.xml"/><Relationship Id="rId4" Type="http://schemas.openxmlformats.org/officeDocument/2006/relationships/image" Target="../media/image28.emf"/></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dimension ref="B1:G30"/>
  <sheetViews>
    <sheetView topLeftCell="B5" workbookViewId="0">
      <selection activeCell="B2" sqref="B2:G2"/>
    </sheetView>
  </sheetViews>
  <sheetFormatPr defaultColWidth="4.5703125" defaultRowHeight="12.75" x14ac:dyDescent="0.2"/>
  <cols>
    <col min="1" max="1" width="0" style="163" hidden="1" customWidth="1"/>
    <col min="2" max="3" width="18.7109375" style="163" customWidth="1"/>
    <col min="4" max="4" width="48.7109375" style="163" customWidth="1"/>
    <col min="5" max="7" width="12.7109375" style="163" customWidth="1"/>
    <col min="8" max="16384" width="4.5703125" style="163"/>
  </cols>
  <sheetData>
    <row r="1" spans="2:7" hidden="1" x14ac:dyDescent="0.2"/>
    <row r="2" spans="2:7" ht="18" x14ac:dyDescent="0.2">
      <c r="B2" s="242" t="s">
        <v>318</v>
      </c>
      <c r="C2" s="242"/>
      <c r="D2" s="242"/>
      <c r="E2" s="242"/>
      <c r="F2" s="242"/>
      <c r="G2" s="242"/>
    </row>
    <row r="3" spans="2:7" ht="125.25" customHeight="1" x14ac:dyDescent="0.2">
      <c r="B3" s="243" t="s">
        <v>316</v>
      </c>
      <c r="C3" s="243"/>
      <c r="D3" s="243"/>
      <c r="E3" s="243"/>
      <c r="F3" s="243"/>
      <c r="G3" s="243"/>
    </row>
    <row r="4" spans="2:7" ht="13.5" customHeight="1" x14ac:dyDescent="0.2">
      <c r="B4" s="185"/>
      <c r="C4" s="186"/>
      <c r="D4" s="244"/>
      <c r="E4" s="245"/>
      <c r="F4" s="245"/>
      <c r="G4" s="246"/>
    </row>
    <row r="5" spans="2:7" ht="14.25" x14ac:dyDescent="0.3">
      <c r="B5" s="187" t="s">
        <v>280</v>
      </c>
      <c r="C5" s="176" t="s">
        <v>266</v>
      </c>
      <c r="D5" s="188"/>
      <c r="E5" s="189"/>
      <c r="F5" s="189"/>
      <c r="G5" s="190"/>
    </row>
    <row r="6" spans="2:7" ht="14.25" customHeight="1" x14ac:dyDescent="0.3">
      <c r="B6" s="182" t="s">
        <v>281</v>
      </c>
      <c r="C6" s="191">
        <f>COUNTIF(ISR清单!I4:I47,"待分析")</f>
        <v>0</v>
      </c>
      <c r="D6" s="188"/>
      <c r="E6" s="189"/>
      <c r="F6" s="189"/>
      <c r="G6" s="190"/>
    </row>
    <row r="7" spans="2:7" ht="14.25" customHeight="1" x14ac:dyDescent="0.3">
      <c r="B7" s="182" t="s">
        <v>282</v>
      </c>
      <c r="C7" s="191">
        <f>COUNTIF(ISR清单!I4:I47,"待排期")</f>
        <v>3</v>
      </c>
      <c r="D7" s="188"/>
      <c r="E7" s="189"/>
      <c r="F7" s="189"/>
      <c r="G7" s="190"/>
    </row>
    <row r="8" spans="2:7" ht="14.25" customHeight="1" x14ac:dyDescent="0.3">
      <c r="B8" s="182" t="s">
        <v>283</v>
      </c>
      <c r="C8" s="191">
        <f>COUNTIF(ISR清单!I4:I47,"已挂起")</f>
        <v>0</v>
      </c>
      <c r="D8" s="188"/>
      <c r="E8" s="189"/>
      <c r="F8" s="189"/>
      <c r="G8" s="190"/>
    </row>
    <row r="9" spans="2:7" ht="14.25" customHeight="1" x14ac:dyDescent="0.3">
      <c r="B9" s="182" t="s">
        <v>284</v>
      </c>
      <c r="C9" s="191">
        <f>本月退回ISR清单!C5</f>
        <v>0</v>
      </c>
      <c r="D9" s="188"/>
      <c r="E9" s="189"/>
      <c r="F9" s="189"/>
      <c r="G9" s="190"/>
    </row>
    <row r="10" spans="2:7" s="171" customFormat="1" ht="12.75" customHeight="1" x14ac:dyDescent="0.2">
      <c r="B10" s="203" t="s">
        <v>285</v>
      </c>
      <c r="C10" s="192"/>
      <c r="D10" s="193"/>
      <c r="E10" s="189"/>
      <c r="F10" s="189"/>
      <c r="G10" s="190"/>
    </row>
    <row r="11" spans="2:7" ht="14.25" customHeight="1" x14ac:dyDescent="0.2">
      <c r="B11" s="194"/>
      <c r="C11" s="195"/>
      <c r="D11" s="195"/>
      <c r="E11" s="196"/>
      <c r="F11" s="196"/>
      <c r="G11" s="197"/>
    </row>
    <row r="12" spans="2:7" ht="14.25" x14ac:dyDescent="0.3">
      <c r="B12" s="178" t="s">
        <v>286</v>
      </c>
      <c r="C12" s="178" t="s">
        <v>287</v>
      </c>
      <c r="D12" s="178" t="s">
        <v>288</v>
      </c>
      <c r="E12" s="177"/>
      <c r="F12" s="175"/>
      <c r="G12" s="198"/>
    </row>
    <row r="13" spans="2:7" ht="28.5" x14ac:dyDescent="0.3">
      <c r="B13" s="199" t="s">
        <v>289</v>
      </c>
      <c r="C13" s="200">
        <v>43391</v>
      </c>
      <c r="D13" s="200">
        <v>43391</v>
      </c>
      <c r="E13" s="201"/>
      <c r="F13" s="189"/>
      <c r="G13" s="190"/>
    </row>
    <row r="14" spans="2:7" ht="14.25" x14ac:dyDescent="0.3">
      <c r="B14" s="202" t="s">
        <v>290</v>
      </c>
      <c r="C14" s="200">
        <v>43391</v>
      </c>
      <c r="D14" s="200">
        <v>43395</v>
      </c>
      <c r="E14" s="188"/>
      <c r="F14" s="189"/>
      <c r="G14" s="190"/>
    </row>
    <row r="15" spans="2:7" ht="14.25" x14ac:dyDescent="0.3">
      <c r="B15" s="199" t="s">
        <v>291</v>
      </c>
      <c r="C15" s="200">
        <v>43391</v>
      </c>
      <c r="D15" s="200">
        <v>43395</v>
      </c>
      <c r="E15" s="201"/>
      <c r="F15" s="189"/>
      <c r="G15" s="190"/>
    </row>
    <row r="16" spans="2:7" ht="14.25" x14ac:dyDescent="0.3">
      <c r="B16" s="202" t="s">
        <v>292</v>
      </c>
      <c r="C16" s="200">
        <v>43398</v>
      </c>
      <c r="D16" s="200">
        <v>43410</v>
      </c>
      <c r="E16" s="201"/>
      <c r="F16" s="189"/>
      <c r="G16" s="190"/>
    </row>
    <row r="17" spans="2:7" ht="14.25" x14ac:dyDescent="0.2">
      <c r="B17" s="203" t="s">
        <v>293</v>
      </c>
      <c r="C17" s="183"/>
      <c r="D17" s="183"/>
      <c r="E17" s="183"/>
      <c r="F17" s="183"/>
      <c r="G17" s="204"/>
    </row>
    <row r="18" spans="2:7" ht="28.5" x14ac:dyDescent="0.2">
      <c r="B18" s="179" t="s">
        <v>187</v>
      </c>
      <c r="C18" s="180" t="s">
        <v>44</v>
      </c>
      <c r="D18" s="179" t="s">
        <v>46</v>
      </c>
      <c r="E18" s="179" t="s">
        <v>48</v>
      </c>
      <c r="F18" s="181" t="s">
        <v>294</v>
      </c>
      <c r="G18" s="179" t="s">
        <v>188</v>
      </c>
    </row>
    <row r="19" spans="2:7" x14ac:dyDescent="0.2">
      <c r="B19" s="184" t="s">
        <v>313</v>
      </c>
      <c r="C19" s="205">
        <v>43391</v>
      </c>
      <c r="D19" s="184" t="s">
        <v>314</v>
      </c>
      <c r="E19" s="184" t="s">
        <v>315</v>
      </c>
      <c r="F19" s="184" t="s">
        <v>260</v>
      </c>
      <c r="G19" s="184"/>
    </row>
    <row r="20" spans="2:7" x14ac:dyDescent="0.2">
      <c r="B20" s="184" t="s">
        <v>268</v>
      </c>
      <c r="C20" s="205">
        <v>43347</v>
      </c>
      <c r="D20" s="184" t="s">
        <v>270</v>
      </c>
      <c r="E20" s="184" t="s">
        <v>275</v>
      </c>
      <c r="F20" s="184" t="s">
        <v>260</v>
      </c>
      <c r="G20" s="184"/>
    </row>
    <row r="21" spans="2:7" ht="14.25" x14ac:dyDescent="0.2">
      <c r="B21" s="247" t="s">
        <v>295</v>
      </c>
      <c r="C21" s="248"/>
      <c r="D21" s="248"/>
      <c r="E21" s="248"/>
      <c r="F21" s="248"/>
      <c r="G21" s="249"/>
    </row>
    <row r="22" spans="2:7" ht="25.5" customHeight="1" x14ac:dyDescent="0.2">
      <c r="B22" s="179" t="s">
        <v>296</v>
      </c>
      <c r="C22" s="179" t="s">
        <v>297</v>
      </c>
      <c r="D22" s="179" t="s">
        <v>298</v>
      </c>
      <c r="E22" s="179" t="s">
        <v>48</v>
      </c>
      <c r="F22" s="179" t="s">
        <v>299</v>
      </c>
      <c r="G22" s="179" t="s">
        <v>188</v>
      </c>
    </row>
    <row r="23" spans="2:7" ht="14.25" x14ac:dyDescent="0.3">
      <c r="B23" s="182"/>
      <c r="C23" s="200"/>
      <c r="D23" s="182"/>
      <c r="E23" s="191"/>
      <c r="F23" s="182"/>
      <c r="G23" s="182"/>
    </row>
    <row r="24" spans="2:7" ht="14.25" x14ac:dyDescent="0.3">
      <c r="B24" s="182"/>
      <c r="C24" s="200"/>
      <c r="D24" s="182"/>
      <c r="E24" s="191"/>
      <c r="F24" s="182"/>
      <c r="G24" s="182"/>
    </row>
    <row r="25" spans="2:7" ht="14.25" x14ac:dyDescent="0.2">
      <c r="B25" s="247" t="s">
        <v>301</v>
      </c>
      <c r="C25" s="248"/>
      <c r="D25" s="248"/>
      <c r="E25" s="248"/>
      <c r="F25" s="248"/>
      <c r="G25" s="249"/>
    </row>
    <row r="26" spans="2:7" ht="14.25" x14ac:dyDescent="0.2">
      <c r="B26" s="179" t="s">
        <v>302</v>
      </c>
      <c r="C26" s="179" t="s">
        <v>280</v>
      </c>
      <c r="D26" s="179" t="s">
        <v>303</v>
      </c>
      <c r="E26" s="250" t="s">
        <v>304</v>
      </c>
      <c r="F26" s="251"/>
      <c r="G26" s="179" t="s">
        <v>305</v>
      </c>
    </row>
    <row r="27" spans="2:7" ht="23.25" customHeight="1" x14ac:dyDescent="0.2">
      <c r="B27" s="173" t="s">
        <v>181</v>
      </c>
      <c r="C27" s="173" t="s">
        <v>182</v>
      </c>
      <c r="D27" s="206">
        <v>42908</v>
      </c>
      <c r="E27" s="236" t="s">
        <v>183</v>
      </c>
      <c r="F27" s="237"/>
      <c r="G27" s="207"/>
    </row>
    <row r="28" spans="2:7" x14ac:dyDescent="0.2">
      <c r="B28" s="174" t="s">
        <v>306</v>
      </c>
      <c r="C28" s="173" t="s">
        <v>307</v>
      </c>
      <c r="D28" s="206">
        <v>42908</v>
      </c>
      <c r="E28" s="238" t="s">
        <v>308</v>
      </c>
      <c r="F28" s="239"/>
      <c r="G28" s="207"/>
    </row>
    <row r="29" spans="2:7" x14ac:dyDescent="0.2">
      <c r="B29" s="173"/>
      <c r="C29" s="173"/>
      <c r="D29" s="173"/>
      <c r="E29" s="240"/>
      <c r="F29" s="237"/>
      <c r="G29" s="173"/>
    </row>
    <row r="30" spans="2:7" ht="88.5" customHeight="1" x14ac:dyDescent="0.2">
      <c r="B30" s="208" t="s">
        <v>309</v>
      </c>
      <c r="C30" s="241" t="s">
        <v>310</v>
      </c>
      <c r="D30" s="241"/>
      <c r="E30" s="241"/>
      <c r="F30" s="241"/>
      <c r="G30" s="241"/>
    </row>
  </sheetData>
  <mergeCells count="10">
    <mergeCell ref="E27:F27"/>
    <mergeCell ref="E28:F28"/>
    <mergeCell ref="E29:F29"/>
    <mergeCell ref="C30:G30"/>
    <mergeCell ref="B2:G2"/>
    <mergeCell ref="B3:G3"/>
    <mergeCell ref="D4:G4"/>
    <mergeCell ref="B21:G21"/>
    <mergeCell ref="B25:G25"/>
    <mergeCell ref="E26:F26"/>
  </mergeCells>
  <phoneticPr fontId="1" type="noConversion"/>
  <dataValidations count="1">
    <dataValidation type="list" allowBlank="1" showInputMessage="1" showErrorMessage="1" sqref="C5">
      <formula1>版本名称</formula1>
    </dataValidation>
  </dataValidations>
  <pageMargins left="0.75" right="0.75" top="1" bottom="1" header="0.5" footer="0.5"/>
  <pageSetup paperSize="9" orientation="portrait" horizontalDpi="300" verticalDpi="300" r:id="rId1"/>
  <headerFooter alignWithMargins="0"/>
  <drawing r:id="rId2"/>
  <legacyDrawing r:id="rId3"/>
  <controls>
    <mc:AlternateContent xmlns:mc="http://schemas.openxmlformats.org/markup-compatibility/2006">
      <mc:Choice Requires="x14">
        <control shapeId="79873" r:id="rId4" name="CommandButton1">
          <controlPr autoLine="0" r:id="rId5">
            <anchor moveWithCells="1">
              <from>
                <xdr:col>10</xdr:col>
                <xdr:colOff>9525</xdr:colOff>
                <xdr:row>1</xdr:row>
                <xdr:rowOff>0</xdr:rowOff>
              </from>
              <to>
                <xdr:col>13</xdr:col>
                <xdr:colOff>171450</xdr:colOff>
                <xdr:row>2</xdr:row>
                <xdr:rowOff>57150</xdr:rowOff>
              </to>
            </anchor>
          </controlPr>
        </control>
      </mc:Choice>
      <mc:Fallback>
        <control shapeId="79873" r:id="rId4" name="CommandButton1"/>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B1:G30"/>
  <sheetViews>
    <sheetView topLeftCell="B2" workbookViewId="0">
      <selection activeCell="B2" sqref="B2:G2"/>
    </sheetView>
  </sheetViews>
  <sheetFormatPr defaultColWidth="4.5703125" defaultRowHeight="12.75" x14ac:dyDescent="0.2"/>
  <cols>
    <col min="1" max="1" width="0" hidden="1" customWidth="1"/>
    <col min="2" max="3" width="18.7109375" customWidth="1"/>
    <col min="4" max="4" width="48.7109375" customWidth="1"/>
    <col min="5" max="7" width="12.7109375" customWidth="1"/>
  </cols>
  <sheetData>
    <row r="1" spans="2:7" s="159" customFormat="1" hidden="1" x14ac:dyDescent="0.2"/>
    <row r="2" spans="2:7" ht="18" x14ac:dyDescent="0.2">
      <c r="B2" s="242" t="s">
        <v>330</v>
      </c>
      <c r="C2" s="242"/>
      <c r="D2" s="242"/>
      <c r="E2" s="242"/>
      <c r="F2" s="242"/>
      <c r="G2" s="242"/>
    </row>
    <row r="3" spans="2:7" ht="125.25" customHeight="1" x14ac:dyDescent="0.2">
      <c r="B3" s="243" t="s">
        <v>329</v>
      </c>
      <c r="C3" s="243"/>
      <c r="D3" s="243"/>
      <c r="E3" s="243"/>
      <c r="F3" s="243"/>
      <c r="G3" s="243"/>
    </row>
    <row r="4" spans="2:7" ht="13.5" customHeight="1" x14ac:dyDescent="0.2">
      <c r="B4" s="138"/>
      <c r="C4" s="139"/>
      <c r="D4" s="244"/>
      <c r="E4" s="245"/>
      <c r="F4" s="245"/>
      <c r="G4" s="246"/>
    </row>
    <row r="5" spans="2:7" ht="14.25" x14ac:dyDescent="0.3">
      <c r="B5" s="140" t="s">
        <v>280</v>
      </c>
      <c r="C5" s="129" t="s">
        <v>266</v>
      </c>
      <c r="D5" s="141"/>
      <c r="E5" s="142"/>
      <c r="F5" s="142"/>
      <c r="G5" s="143"/>
    </row>
    <row r="6" spans="2:7" ht="14.25" customHeight="1" x14ac:dyDescent="0.3">
      <c r="B6" s="135" t="s">
        <v>281</v>
      </c>
      <c r="C6" s="160">
        <f>COUNTIF(ISR清单!I4:I47,"待分析")</f>
        <v>0</v>
      </c>
      <c r="D6" s="141"/>
      <c r="E6" s="142"/>
      <c r="F6" s="142"/>
      <c r="G6" s="143"/>
    </row>
    <row r="7" spans="2:7" ht="14.25" customHeight="1" x14ac:dyDescent="0.3">
      <c r="B7" s="135" t="s">
        <v>282</v>
      </c>
      <c r="C7" s="160">
        <f>COUNTIF(ISR清单!I4:I47,"待排期")</f>
        <v>3</v>
      </c>
      <c r="D7" s="141"/>
      <c r="E7" s="142"/>
      <c r="F7" s="142"/>
      <c r="G7" s="143"/>
    </row>
    <row r="8" spans="2:7" ht="14.25" customHeight="1" x14ac:dyDescent="0.3">
      <c r="B8" s="135" t="s">
        <v>283</v>
      </c>
      <c r="C8" s="160">
        <f>COUNTIF(ISR清单!I4:I47,"已挂起")</f>
        <v>0</v>
      </c>
      <c r="D8" s="141"/>
      <c r="E8" s="142"/>
      <c r="F8" s="142"/>
      <c r="G8" s="143"/>
    </row>
    <row r="9" spans="2:7" ht="14.25" customHeight="1" x14ac:dyDescent="0.3">
      <c r="B9" s="135" t="s">
        <v>284</v>
      </c>
      <c r="C9" s="144">
        <f>本月退回ISR清单!C5</f>
        <v>0</v>
      </c>
      <c r="D9" s="141"/>
      <c r="E9" s="142"/>
      <c r="F9" s="142"/>
      <c r="G9" s="143"/>
    </row>
    <row r="10" spans="2:7" s="50" customFormat="1" ht="12.75" customHeight="1" x14ac:dyDescent="0.2">
      <c r="B10" s="203" t="s">
        <v>285</v>
      </c>
      <c r="C10" s="145"/>
      <c r="D10" s="146"/>
      <c r="E10" s="142"/>
      <c r="F10" s="142"/>
      <c r="G10" s="143"/>
    </row>
    <row r="11" spans="2:7" ht="14.25" customHeight="1" x14ac:dyDescent="0.2">
      <c r="B11" s="147"/>
      <c r="C11" s="148"/>
      <c r="D11" s="148"/>
      <c r="E11" s="149"/>
      <c r="F11" s="149"/>
      <c r="G11" s="150"/>
    </row>
    <row r="12" spans="2:7" ht="14.25" x14ac:dyDescent="0.3">
      <c r="B12" s="131" t="s">
        <v>286</v>
      </c>
      <c r="C12" s="131" t="s">
        <v>287</v>
      </c>
      <c r="D12" s="131" t="s">
        <v>288</v>
      </c>
      <c r="E12" s="130"/>
      <c r="F12" s="128"/>
      <c r="G12" s="151"/>
    </row>
    <row r="13" spans="2:7" ht="28.5" x14ac:dyDescent="0.3">
      <c r="B13" s="152" t="s">
        <v>289</v>
      </c>
      <c r="C13" s="153">
        <v>43391</v>
      </c>
      <c r="D13" s="153">
        <v>43391</v>
      </c>
      <c r="E13" s="154"/>
      <c r="F13" s="142"/>
      <c r="G13" s="143"/>
    </row>
    <row r="14" spans="2:7" ht="14.25" x14ac:dyDescent="0.3">
      <c r="B14" s="155" t="s">
        <v>290</v>
      </c>
      <c r="C14" s="153">
        <v>43391</v>
      </c>
      <c r="D14" s="153">
        <v>43395</v>
      </c>
      <c r="E14" s="141"/>
      <c r="F14" s="142"/>
      <c r="G14" s="143"/>
    </row>
    <row r="15" spans="2:7" ht="14.25" x14ac:dyDescent="0.3">
      <c r="B15" s="152" t="s">
        <v>291</v>
      </c>
      <c r="C15" s="153">
        <v>43391</v>
      </c>
      <c r="D15" s="153">
        <v>43395</v>
      </c>
      <c r="E15" s="154"/>
      <c r="F15" s="142"/>
      <c r="G15" s="143"/>
    </row>
    <row r="16" spans="2:7" ht="14.25" x14ac:dyDescent="0.3">
      <c r="B16" s="155" t="s">
        <v>292</v>
      </c>
      <c r="C16" s="153">
        <v>43398</v>
      </c>
      <c r="D16" s="153">
        <v>43410</v>
      </c>
      <c r="E16" s="154"/>
      <c r="F16" s="142"/>
      <c r="G16" s="143"/>
    </row>
    <row r="17" spans="2:7" ht="14.25" x14ac:dyDescent="0.2">
      <c r="B17" s="156" t="s">
        <v>293</v>
      </c>
      <c r="C17" s="136"/>
      <c r="D17" s="136"/>
      <c r="E17" s="136"/>
      <c r="F17" s="136"/>
      <c r="G17" s="157"/>
    </row>
    <row r="18" spans="2:7" ht="28.5" x14ac:dyDescent="0.2">
      <c r="B18" s="132" t="s">
        <v>187</v>
      </c>
      <c r="C18" s="133" t="s">
        <v>44</v>
      </c>
      <c r="D18" s="132" t="s">
        <v>46</v>
      </c>
      <c r="E18" s="132" t="s">
        <v>48</v>
      </c>
      <c r="F18" s="134" t="s">
        <v>294</v>
      </c>
      <c r="G18" s="132" t="s">
        <v>188</v>
      </c>
    </row>
    <row r="19" spans="2:7" x14ac:dyDescent="0.2">
      <c r="B19" s="137" t="s">
        <v>313</v>
      </c>
      <c r="C19" s="158">
        <v>43391</v>
      </c>
      <c r="D19" s="137" t="s">
        <v>314</v>
      </c>
      <c r="E19" s="137" t="s">
        <v>315</v>
      </c>
      <c r="F19" s="137" t="s">
        <v>260</v>
      </c>
      <c r="G19" s="137"/>
    </row>
    <row r="20" spans="2:7" s="163" customFormat="1" x14ac:dyDescent="0.2">
      <c r="B20" s="184" t="s">
        <v>268</v>
      </c>
      <c r="C20" s="205">
        <v>43347</v>
      </c>
      <c r="D20" s="184" t="s">
        <v>270</v>
      </c>
      <c r="E20" s="184" t="s">
        <v>275</v>
      </c>
      <c r="F20" s="184" t="s">
        <v>260</v>
      </c>
      <c r="G20" s="184"/>
    </row>
    <row r="21" spans="2:7" ht="14.25" x14ac:dyDescent="0.2">
      <c r="B21" s="247" t="s">
        <v>295</v>
      </c>
      <c r="C21" s="248"/>
      <c r="D21" s="248"/>
      <c r="E21" s="248"/>
      <c r="F21" s="248"/>
      <c r="G21" s="249"/>
    </row>
    <row r="22" spans="2:7" ht="25.5" customHeight="1" x14ac:dyDescent="0.2">
      <c r="B22" s="132" t="s">
        <v>296</v>
      </c>
      <c r="C22" s="132" t="s">
        <v>297</v>
      </c>
      <c r="D22" s="132" t="s">
        <v>298</v>
      </c>
      <c r="E22" s="132" t="s">
        <v>48</v>
      </c>
      <c r="F22" s="132" t="s">
        <v>299</v>
      </c>
      <c r="G22" s="132" t="s">
        <v>188</v>
      </c>
    </row>
    <row r="23" spans="2:7" ht="23.25" x14ac:dyDescent="0.2">
      <c r="B23" s="126" t="s">
        <v>300</v>
      </c>
      <c r="C23" s="125">
        <v>43392</v>
      </c>
      <c r="D23" s="126" t="s">
        <v>325</v>
      </c>
      <c r="E23" s="124" t="s">
        <v>275</v>
      </c>
      <c r="F23" s="126" t="s">
        <v>260</v>
      </c>
      <c r="G23" s="126"/>
    </row>
    <row r="24" spans="2:7" s="163" customFormat="1" x14ac:dyDescent="0.2">
      <c r="B24" s="126"/>
      <c r="C24" s="125"/>
      <c r="D24" s="126"/>
      <c r="E24" s="124"/>
      <c r="F24" s="126"/>
      <c r="G24" s="126"/>
    </row>
    <row r="25" spans="2:7" ht="14.25" x14ac:dyDescent="0.2">
      <c r="B25" s="247" t="s">
        <v>301</v>
      </c>
      <c r="C25" s="248"/>
      <c r="D25" s="248"/>
      <c r="E25" s="248"/>
      <c r="F25" s="248"/>
      <c r="G25" s="249"/>
    </row>
    <row r="26" spans="2:7" ht="14.25" x14ac:dyDescent="0.2">
      <c r="B26" s="132" t="s">
        <v>302</v>
      </c>
      <c r="C26" s="132" t="s">
        <v>280</v>
      </c>
      <c r="D26" s="132" t="s">
        <v>303</v>
      </c>
      <c r="E26" s="250" t="s">
        <v>304</v>
      </c>
      <c r="F26" s="251"/>
      <c r="G26" s="132" t="s">
        <v>305</v>
      </c>
    </row>
    <row r="27" spans="2:7" x14ac:dyDescent="0.2">
      <c r="B27" s="209" t="s">
        <v>181</v>
      </c>
      <c r="C27" s="209" t="s">
        <v>182</v>
      </c>
      <c r="D27" s="210">
        <v>42908</v>
      </c>
      <c r="E27" s="252" t="s">
        <v>183</v>
      </c>
      <c r="F27" s="253"/>
      <c r="G27" s="211"/>
    </row>
    <row r="28" spans="2:7" x14ac:dyDescent="0.2">
      <c r="B28" s="209" t="s">
        <v>306</v>
      </c>
      <c r="C28" s="209" t="s">
        <v>307</v>
      </c>
      <c r="D28" s="210">
        <v>42908</v>
      </c>
      <c r="E28" s="254" t="s">
        <v>308</v>
      </c>
      <c r="F28" s="255"/>
      <c r="G28" s="211"/>
    </row>
    <row r="29" spans="2:7" x14ac:dyDescent="0.2">
      <c r="B29" s="127"/>
      <c r="C29" s="127"/>
      <c r="D29" s="127"/>
      <c r="E29" s="240"/>
      <c r="F29" s="237"/>
      <c r="G29" s="127"/>
    </row>
    <row r="30" spans="2:7" ht="88.5" customHeight="1" x14ac:dyDescent="0.2">
      <c r="B30" s="212" t="s">
        <v>309</v>
      </c>
      <c r="C30" s="256" t="s">
        <v>310</v>
      </c>
      <c r="D30" s="256"/>
      <c r="E30" s="256"/>
      <c r="F30" s="256"/>
      <c r="G30" s="256"/>
    </row>
  </sheetData>
  <sheetProtection sheet="1" objects="1" scenarios="1"/>
  <mergeCells count="10">
    <mergeCell ref="E27:F27"/>
    <mergeCell ref="E28:F28"/>
    <mergeCell ref="E29:F29"/>
    <mergeCell ref="C30:G30"/>
    <mergeCell ref="B2:G2"/>
    <mergeCell ref="B3:G3"/>
    <mergeCell ref="D4:G4"/>
    <mergeCell ref="B21:G21"/>
    <mergeCell ref="B25:G25"/>
    <mergeCell ref="E26:F26"/>
  </mergeCells>
  <phoneticPr fontId="1" type="noConversion"/>
  <dataValidations count="1">
    <dataValidation type="list" allowBlank="1" showInputMessage="1" showErrorMessage="1" sqref="C5">
      <formula1>版本名称</formula1>
    </dataValidation>
  </dataValidations>
  <pageMargins left="0.75" right="0.75" top="1" bottom="1" header="0.5" footer="0.5"/>
  <pageSetup paperSize="9" orientation="portrait" horizontalDpi="300" verticalDpi="300" r:id="rId1"/>
  <headerFooter alignWithMargins="0"/>
  <drawing r:id="rId2"/>
  <legacyDrawing r:id="rId3"/>
  <controls>
    <mc:AlternateContent xmlns:mc="http://schemas.openxmlformats.org/markup-compatibility/2006">
      <mc:Choice Requires="x14">
        <control shapeId="76801" r:id="rId4" name="CommandButton1">
          <controlPr autoLine="0" r:id="rId5">
            <anchor moveWithCells="1">
              <from>
                <xdr:col>10</xdr:col>
                <xdr:colOff>9525</xdr:colOff>
                <xdr:row>1</xdr:row>
                <xdr:rowOff>0</xdr:rowOff>
              </from>
              <to>
                <xdr:col>13</xdr:col>
                <xdr:colOff>171450</xdr:colOff>
                <xdr:row>2</xdr:row>
                <xdr:rowOff>57150</xdr:rowOff>
              </to>
            </anchor>
          </controlPr>
        </control>
      </mc:Choice>
      <mc:Fallback>
        <control shapeId="76801" r:id="rId4" name="CommandButton1"/>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B3:F26"/>
  <sheetViews>
    <sheetView topLeftCell="A7" workbookViewId="0">
      <selection activeCell="F15" sqref="F15"/>
    </sheetView>
  </sheetViews>
  <sheetFormatPr defaultColWidth="10.28515625" defaultRowHeight="12" x14ac:dyDescent="0.15"/>
  <cols>
    <col min="1" max="1" width="3.5703125" style="2" customWidth="1"/>
    <col min="2" max="3" width="12.7109375" style="1" customWidth="1"/>
    <col min="4" max="4" width="31.7109375" style="2" customWidth="1"/>
    <col min="5" max="5" width="17.42578125" style="2" customWidth="1"/>
    <col min="6" max="6" width="23.140625" style="2" bestFit="1" customWidth="1"/>
    <col min="7" max="16384" width="10.28515625" style="2"/>
  </cols>
  <sheetData>
    <row r="3" spans="2:6" x14ac:dyDescent="0.15">
      <c r="F3" s="2" t="s">
        <v>5</v>
      </c>
    </row>
    <row r="4" spans="2:6" x14ac:dyDescent="0.15">
      <c r="F4" s="2" t="s">
        <v>39</v>
      </c>
    </row>
    <row r="5" spans="2:6" x14ac:dyDescent="0.15">
      <c r="F5" s="2" t="s">
        <v>0</v>
      </c>
    </row>
    <row r="6" spans="2:6" ht="15" customHeight="1" x14ac:dyDescent="0.15">
      <c r="B6" s="259" t="s">
        <v>38</v>
      </c>
      <c r="C6" s="259"/>
      <c r="D6" s="259"/>
      <c r="E6" s="259"/>
      <c r="F6" s="259"/>
    </row>
    <row r="8" spans="2:6" ht="14.25" x14ac:dyDescent="0.15">
      <c r="B8" s="257" t="s">
        <v>1</v>
      </c>
      <c r="C8" s="257"/>
      <c r="D8" s="257"/>
      <c r="E8" s="257"/>
      <c r="F8" s="257"/>
    </row>
    <row r="9" spans="2:6" ht="6.75" customHeight="1" x14ac:dyDescent="0.15">
      <c r="B9" s="258"/>
      <c r="C9" s="258"/>
      <c r="D9" s="258"/>
      <c r="E9" s="258"/>
      <c r="F9" s="258"/>
    </row>
    <row r="10" spans="2:6" x14ac:dyDescent="0.15">
      <c r="B10" s="3" t="s">
        <v>6</v>
      </c>
      <c r="C10" s="3" t="s">
        <v>7</v>
      </c>
      <c r="D10" s="4" t="s">
        <v>4</v>
      </c>
      <c r="E10" s="4" t="s">
        <v>2</v>
      </c>
      <c r="F10" s="4" t="s">
        <v>3</v>
      </c>
    </row>
    <row r="11" spans="2:6" ht="36" x14ac:dyDescent="0.15">
      <c r="B11" s="5" t="s">
        <v>322</v>
      </c>
      <c r="C11" s="5"/>
      <c r="D11" s="213" t="s">
        <v>324</v>
      </c>
      <c r="E11" s="7" t="s">
        <v>323</v>
      </c>
      <c r="F11" s="6"/>
    </row>
    <row r="12" spans="2:6" x14ac:dyDescent="0.15">
      <c r="B12" s="5"/>
      <c r="C12" s="5"/>
      <c r="D12" s="213"/>
      <c r="E12" s="6"/>
      <c r="F12" s="6"/>
    </row>
    <row r="13" spans="2:6" x14ac:dyDescent="0.15">
      <c r="B13" s="5"/>
      <c r="C13" s="5"/>
      <c r="D13" s="213"/>
      <c r="E13" s="6"/>
      <c r="F13" s="6"/>
    </row>
    <row r="14" spans="2:6" x14ac:dyDescent="0.15">
      <c r="B14" s="5"/>
      <c r="C14" s="5"/>
      <c r="D14" s="213"/>
      <c r="E14" s="6"/>
      <c r="F14" s="6"/>
    </row>
    <row r="15" spans="2:6" x14ac:dyDescent="0.15">
      <c r="B15" s="5"/>
      <c r="C15" s="5"/>
      <c r="D15" s="213"/>
      <c r="E15" s="6"/>
      <c r="F15" s="6"/>
    </row>
    <row r="16" spans="2:6" x14ac:dyDescent="0.15">
      <c r="B16" s="5"/>
      <c r="C16" s="5"/>
      <c r="D16" s="213"/>
      <c r="E16" s="6"/>
      <c r="F16" s="6"/>
    </row>
    <row r="17" spans="2:6" x14ac:dyDescent="0.15">
      <c r="B17" s="5"/>
      <c r="C17" s="5"/>
      <c r="D17" s="213"/>
      <c r="E17" s="6"/>
      <c r="F17" s="6"/>
    </row>
    <row r="18" spans="2:6" x14ac:dyDescent="0.15">
      <c r="B18" s="5"/>
      <c r="C18" s="5"/>
      <c r="D18" s="213"/>
      <c r="E18" s="6"/>
      <c r="F18" s="6"/>
    </row>
    <row r="19" spans="2:6" x14ac:dyDescent="0.15">
      <c r="B19" s="5"/>
      <c r="C19" s="5"/>
      <c r="D19" s="213"/>
      <c r="E19" s="6"/>
      <c r="F19" s="6"/>
    </row>
    <row r="20" spans="2:6" x14ac:dyDescent="0.15">
      <c r="B20" s="5"/>
      <c r="C20" s="5"/>
      <c r="D20" s="213"/>
      <c r="E20" s="6"/>
      <c r="F20" s="6"/>
    </row>
    <row r="21" spans="2:6" x14ac:dyDescent="0.15">
      <c r="B21" s="5"/>
      <c r="C21" s="5"/>
      <c r="D21" s="213"/>
      <c r="E21" s="6"/>
      <c r="F21" s="6"/>
    </row>
    <row r="22" spans="2:6" x14ac:dyDescent="0.15">
      <c r="B22" s="5"/>
      <c r="C22" s="5"/>
      <c r="D22" s="213"/>
      <c r="E22" s="6"/>
      <c r="F22" s="6"/>
    </row>
    <row r="23" spans="2:6" x14ac:dyDescent="0.15">
      <c r="B23" s="5"/>
      <c r="C23" s="5"/>
      <c r="D23" s="213"/>
      <c r="E23" s="6"/>
      <c r="F23" s="6"/>
    </row>
    <row r="24" spans="2:6" x14ac:dyDescent="0.15">
      <c r="B24" s="5"/>
      <c r="C24" s="5"/>
      <c r="D24" s="213"/>
      <c r="E24" s="6"/>
      <c r="F24" s="6"/>
    </row>
    <row r="25" spans="2:6" x14ac:dyDescent="0.15">
      <c r="B25" s="5"/>
      <c r="C25" s="5"/>
      <c r="D25" s="213"/>
      <c r="E25" s="6"/>
      <c r="F25" s="6"/>
    </row>
    <row r="26" spans="2:6" x14ac:dyDescent="0.15">
      <c r="B26" s="5"/>
      <c r="C26" s="5"/>
      <c r="D26" s="213"/>
      <c r="E26" s="6"/>
      <c r="F26" s="6"/>
    </row>
  </sheetData>
  <mergeCells count="3">
    <mergeCell ref="B8:F8"/>
    <mergeCell ref="B9:F9"/>
    <mergeCell ref="B6:F6"/>
  </mergeCells>
  <phoneticPr fontId="1" type="noConversion"/>
  <pageMargins left="0.75" right="0.75" top="1" bottom="1" header="0.5" footer="0.5"/>
  <pageSetup paperSize="9" orientation="landscape" horizontalDpi="200" verticalDpi="200" r:id="rId1"/>
  <headerFooter alignWithMargins="0">
    <oddHeader xml:space="preserve">&amp;L&amp;G&amp;R
SF-120 &amp;"宋体,常规"需求跟踪矩阵&amp;"Arial,常规"
&amp;"宋体,常规"保密等级：内部使用级&amp;"Arial,常规"  
</oddHeader>
    <oddFooter>&amp;L&amp;"宋体,常规"版本号：&amp;"Arial,常规"V1.0
&amp;"宋体,常规"发布日期：&amp;"Arial,常规"2008&amp;"宋体,常规"年&amp;"Arial,常规"12&amp;"宋体,常规"月&amp;"Arial,常规"05&amp;"宋体,常规"日</oddFooter>
  </headerFooter>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E44"/>
  <sheetViews>
    <sheetView topLeftCell="A7" workbookViewId="0">
      <selection activeCell="C24" sqref="C24"/>
    </sheetView>
  </sheetViews>
  <sheetFormatPr defaultRowHeight="12.75" x14ac:dyDescent="0.2"/>
  <cols>
    <col min="1" max="1" width="24.28515625" customWidth="1"/>
    <col min="2" max="2" width="25" customWidth="1"/>
    <col min="3" max="3" width="24.85546875" customWidth="1"/>
    <col min="4" max="4" width="16.140625" customWidth="1"/>
    <col min="5" max="5" width="59.7109375" customWidth="1"/>
  </cols>
  <sheetData>
    <row r="1" spans="1:5" hidden="1" x14ac:dyDescent="0.2">
      <c r="A1" s="8" t="s">
        <v>10</v>
      </c>
    </row>
    <row r="2" spans="1:5" hidden="1" x14ac:dyDescent="0.2">
      <c r="A2" s="13" t="s">
        <v>9</v>
      </c>
    </row>
    <row r="3" spans="1:5" hidden="1" x14ac:dyDescent="0.2">
      <c r="A3" s="14" t="s">
        <v>11</v>
      </c>
    </row>
    <row r="4" spans="1:5" hidden="1" x14ac:dyDescent="0.2">
      <c r="A4" s="14" t="s">
        <v>8</v>
      </c>
    </row>
    <row r="5" spans="1:5" hidden="1" x14ac:dyDescent="0.2">
      <c r="A5" s="14" t="s">
        <v>12</v>
      </c>
    </row>
    <row r="6" spans="1:5" hidden="1" x14ac:dyDescent="0.2">
      <c r="A6" s="14" t="s">
        <v>13</v>
      </c>
    </row>
    <row r="8" spans="1:5" ht="24.75" x14ac:dyDescent="0.2">
      <c r="A8" s="35" t="s">
        <v>60</v>
      </c>
      <c r="B8" s="36"/>
    </row>
    <row r="10" spans="1:5" x14ac:dyDescent="0.2">
      <c r="A10" s="11" t="s">
        <v>14</v>
      </c>
      <c r="B10" s="11" t="s">
        <v>41</v>
      </c>
      <c r="C10" s="11" t="s">
        <v>15</v>
      </c>
      <c r="D10" s="17" t="s">
        <v>77</v>
      </c>
      <c r="E10" s="17" t="s">
        <v>76</v>
      </c>
    </row>
    <row r="11" spans="1:5" x14ac:dyDescent="0.2">
      <c r="A11" s="71" t="s">
        <v>159</v>
      </c>
      <c r="B11" s="12"/>
      <c r="C11" s="12">
        <v>42837</v>
      </c>
      <c r="D11" s="12"/>
      <c r="E11" s="42"/>
    </row>
    <row r="12" spans="1:5" x14ac:dyDescent="0.2">
      <c r="A12" s="71" t="s">
        <v>160</v>
      </c>
      <c r="B12" s="12"/>
      <c r="C12" s="12">
        <v>42908</v>
      </c>
      <c r="D12" s="12"/>
      <c r="E12" s="9"/>
    </row>
    <row r="13" spans="1:5" x14ac:dyDescent="0.2">
      <c r="A13" s="71" t="s">
        <v>161</v>
      </c>
      <c r="B13" s="12"/>
      <c r="C13" s="12">
        <v>42957</v>
      </c>
      <c r="D13" s="12"/>
      <c r="E13" s="9"/>
    </row>
    <row r="14" spans="1:5" x14ac:dyDescent="0.2">
      <c r="A14" s="106" t="s">
        <v>197</v>
      </c>
      <c r="B14" s="12"/>
      <c r="C14" s="12">
        <v>43052</v>
      </c>
      <c r="D14" s="12"/>
      <c r="E14" s="9"/>
    </row>
    <row r="15" spans="1:5" x14ac:dyDescent="0.2">
      <c r="A15" s="106" t="s">
        <v>198</v>
      </c>
      <c r="B15" s="15"/>
      <c r="C15" s="15"/>
      <c r="D15" s="9"/>
      <c r="E15" s="9"/>
    </row>
    <row r="16" spans="1:5" x14ac:dyDescent="0.2">
      <c r="A16" s="106" t="s">
        <v>199</v>
      </c>
      <c r="B16" s="15"/>
      <c r="C16" s="108">
        <v>42796</v>
      </c>
      <c r="D16" s="9"/>
      <c r="E16" s="9"/>
    </row>
    <row r="17" spans="1:5" x14ac:dyDescent="0.2">
      <c r="A17" s="107" t="s">
        <v>206</v>
      </c>
      <c r="B17" s="108">
        <v>43171</v>
      </c>
      <c r="C17" s="108">
        <v>43174</v>
      </c>
      <c r="D17" s="9"/>
      <c r="E17" s="9"/>
    </row>
    <row r="18" spans="1:5" x14ac:dyDescent="0.2">
      <c r="A18" s="109" t="s">
        <v>223</v>
      </c>
      <c r="B18" s="108">
        <v>43215</v>
      </c>
      <c r="C18" s="108">
        <v>43215</v>
      </c>
      <c r="D18" s="9"/>
      <c r="E18" s="9"/>
    </row>
    <row r="19" spans="1:5" x14ac:dyDescent="0.2">
      <c r="A19" s="110" t="s">
        <v>240</v>
      </c>
      <c r="B19" s="15"/>
      <c r="C19" s="15"/>
      <c r="D19" s="9"/>
      <c r="E19" s="9"/>
    </row>
    <row r="20" spans="1:5" x14ac:dyDescent="0.2">
      <c r="A20" s="118" t="s">
        <v>249</v>
      </c>
      <c r="B20" s="108">
        <v>43270</v>
      </c>
      <c r="C20" s="108">
        <v>43270</v>
      </c>
      <c r="D20" s="9"/>
      <c r="E20" s="9"/>
    </row>
    <row r="21" spans="1:5" x14ac:dyDescent="0.2">
      <c r="A21" s="118" t="s">
        <v>253</v>
      </c>
      <c r="B21" s="108">
        <v>43291</v>
      </c>
      <c r="C21" s="108">
        <v>43291</v>
      </c>
      <c r="D21" s="9"/>
      <c r="E21" s="9"/>
    </row>
    <row r="22" spans="1:5" x14ac:dyDescent="0.2">
      <c r="A22" s="118" t="s">
        <v>265</v>
      </c>
      <c r="B22" s="15"/>
      <c r="C22" s="15"/>
      <c r="D22" s="9"/>
      <c r="E22" s="9"/>
    </row>
    <row r="23" spans="1:5" x14ac:dyDescent="0.2">
      <c r="A23" s="118" t="s">
        <v>267</v>
      </c>
      <c r="B23" s="15"/>
      <c r="C23" s="108">
        <v>43410</v>
      </c>
      <c r="D23" s="9"/>
      <c r="E23" s="9"/>
    </row>
    <row r="24" spans="1:5" x14ac:dyDescent="0.2">
      <c r="A24" s="118" t="s">
        <v>272</v>
      </c>
      <c r="B24" s="15"/>
      <c r="C24" s="108">
        <v>43423</v>
      </c>
      <c r="D24" s="9"/>
      <c r="E24" s="9"/>
    </row>
    <row r="25" spans="1:5" x14ac:dyDescent="0.2">
      <c r="A25" s="118" t="s">
        <v>273</v>
      </c>
      <c r="B25" s="15"/>
      <c r="C25" s="108"/>
      <c r="D25" s="9"/>
      <c r="E25" s="9"/>
    </row>
    <row r="26" spans="1:5" x14ac:dyDescent="0.2">
      <c r="A26" s="15"/>
      <c r="B26" s="15"/>
      <c r="C26" s="15"/>
      <c r="D26" s="9"/>
      <c r="E26" s="9"/>
    </row>
    <row r="27" spans="1:5" x14ac:dyDescent="0.2">
      <c r="A27" s="15"/>
      <c r="B27" s="15"/>
      <c r="C27" s="15"/>
      <c r="D27" s="9"/>
      <c r="E27" s="9"/>
    </row>
    <row r="28" spans="1:5" x14ac:dyDescent="0.2">
      <c r="A28" s="15"/>
      <c r="B28" s="15"/>
      <c r="C28" s="15"/>
      <c r="D28" s="9"/>
      <c r="E28" s="9"/>
    </row>
    <row r="29" spans="1:5" x14ac:dyDescent="0.2">
      <c r="A29" s="15"/>
      <c r="B29" s="15"/>
      <c r="C29" s="15"/>
      <c r="D29" s="9"/>
      <c r="E29" s="9"/>
    </row>
    <row r="30" spans="1:5" x14ac:dyDescent="0.2">
      <c r="A30" s="15"/>
      <c r="B30" s="15"/>
      <c r="C30" s="15"/>
      <c r="D30" s="9"/>
      <c r="E30" s="9"/>
    </row>
    <row r="31" spans="1:5" x14ac:dyDescent="0.2">
      <c r="A31" s="15"/>
      <c r="B31" s="15"/>
      <c r="C31" s="15"/>
      <c r="D31" s="9"/>
      <c r="E31" s="9"/>
    </row>
    <row r="32" spans="1:5" x14ac:dyDescent="0.2">
      <c r="A32" s="15"/>
      <c r="B32" s="15"/>
      <c r="C32" s="15"/>
      <c r="D32" s="9"/>
      <c r="E32" s="9"/>
    </row>
    <row r="33" spans="1:5" x14ac:dyDescent="0.2">
      <c r="A33" s="15"/>
      <c r="B33" s="15"/>
      <c r="C33" s="15"/>
      <c r="D33" s="9"/>
      <c r="E33" s="9"/>
    </row>
    <row r="34" spans="1:5" x14ac:dyDescent="0.2">
      <c r="A34" s="15"/>
      <c r="B34" s="15"/>
      <c r="C34" s="15"/>
      <c r="D34" s="9"/>
      <c r="E34" s="9"/>
    </row>
    <row r="35" spans="1:5" x14ac:dyDescent="0.2">
      <c r="A35" s="15"/>
      <c r="B35" s="15"/>
      <c r="C35" s="15"/>
      <c r="D35" s="9"/>
      <c r="E35" s="9"/>
    </row>
    <row r="36" spans="1:5" x14ac:dyDescent="0.2">
      <c r="A36" s="15"/>
      <c r="B36" s="15"/>
      <c r="C36" s="15"/>
      <c r="D36" s="9"/>
      <c r="E36" s="9"/>
    </row>
    <row r="37" spans="1:5" x14ac:dyDescent="0.2">
      <c r="A37" s="15"/>
      <c r="B37" s="15"/>
      <c r="C37" s="15"/>
      <c r="D37" s="9"/>
      <c r="E37" s="9"/>
    </row>
    <row r="38" spans="1:5" x14ac:dyDescent="0.2">
      <c r="A38" s="15"/>
      <c r="B38" s="15"/>
      <c r="C38" s="15"/>
      <c r="D38" s="9"/>
      <c r="E38" s="9"/>
    </row>
    <row r="39" spans="1:5" x14ac:dyDescent="0.2">
      <c r="A39" s="15"/>
      <c r="B39" s="15"/>
      <c r="C39" s="15"/>
      <c r="D39" s="9"/>
      <c r="E39" s="9"/>
    </row>
    <row r="40" spans="1:5" x14ac:dyDescent="0.2">
      <c r="A40" s="15"/>
      <c r="B40" s="15"/>
      <c r="C40" s="15"/>
      <c r="D40" s="9"/>
      <c r="E40" s="9"/>
    </row>
    <row r="41" spans="1:5" x14ac:dyDescent="0.2">
      <c r="A41" s="15"/>
      <c r="B41" s="15"/>
      <c r="C41" s="15"/>
      <c r="D41" s="9"/>
      <c r="E41" s="9"/>
    </row>
    <row r="42" spans="1:5" x14ac:dyDescent="0.2">
      <c r="A42" s="15"/>
      <c r="B42" s="15"/>
      <c r="C42" s="15"/>
      <c r="D42" s="9"/>
      <c r="E42" s="9"/>
    </row>
    <row r="43" spans="1:5" x14ac:dyDescent="0.2">
      <c r="A43" s="15"/>
      <c r="B43" s="15"/>
      <c r="C43" s="15"/>
      <c r="D43" s="9"/>
      <c r="E43" s="9"/>
    </row>
    <row r="44" spans="1:5" x14ac:dyDescent="0.2">
      <c r="A44" s="15"/>
      <c r="B44" s="15"/>
      <c r="C44" s="15"/>
      <c r="D44" s="9"/>
      <c r="E44" s="9"/>
    </row>
  </sheetData>
  <phoneticPr fontId="1" type="noConversion"/>
  <pageMargins left="0.75" right="0.75" top="1" bottom="1" header="0.5" footer="0.5"/>
  <pageSetup paperSize="9" orientation="portrait" horizontalDpi="300" verticalDpi="300" r:id="rId1"/>
  <headerFooter alignWithMargins="0"/>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R65"/>
  <sheetViews>
    <sheetView tabSelected="1" topLeftCell="A7" workbookViewId="0">
      <selection activeCell="C20" sqref="C20"/>
    </sheetView>
  </sheetViews>
  <sheetFormatPr defaultRowHeight="12" x14ac:dyDescent="0.15"/>
  <cols>
    <col min="1" max="1" width="20.140625" style="221" bestFit="1" customWidth="1"/>
    <col min="2" max="2" width="13.7109375" style="221" customWidth="1"/>
    <col min="3" max="3" width="37.42578125" style="221" customWidth="1"/>
    <col min="4" max="4" width="44.85546875" style="221" customWidth="1"/>
    <col min="5" max="5" width="11.85546875" style="221" bestFit="1" customWidth="1"/>
    <col min="6" max="6" width="9.7109375" style="221" bestFit="1" customWidth="1"/>
    <col min="7" max="7" width="12.140625" style="221" customWidth="1"/>
    <col min="8" max="8" width="11.5703125" style="221" customWidth="1"/>
    <col min="9" max="9" width="10.5703125" style="221" customWidth="1"/>
    <col min="10" max="10" width="9" style="221" customWidth="1"/>
    <col min="11" max="11" width="18.85546875" style="221" customWidth="1"/>
    <col min="12" max="12" width="10.42578125" style="221" customWidth="1"/>
    <col min="13" max="13" width="10.5703125" style="221" customWidth="1"/>
    <col min="14" max="14" width="17.42578125" style="221" customWidth="1"/>
    <col min="15" max="15" width="11" style="221" customWidth="1"/>
    <col min="16" max="16" width="11.28515625" style="221" customWidth="1"/>
    <col min="17" max="17" width="32.5703125" style="221" customWidth="1"/>
    <col min="18" max="18" width="11.85546875" style="222" bestFit="1" customWidth="1"/>
    <col min="19" max="16384" width="9.140625" style="221"/>
  </cols>
  <sheetData>
    <row r="1" spans="1:18" ht="110.25" hidden="1" customHeight="1" x14ac:dyDescent="0.15">
      <c r="A1" s="260" t="s">
        <v>40</v>
      </c>
      <c r="B1" s="260"/>
      <c r="C1" s="260"/>
    </row>
    <row r="2" spans="1:18" ht="14.25" customHeight="1" x14ac:dyDescent="0.15">
      <c r="A2" s="261" t="s">
        <v>42</v>
      </c>
      <c r="B2" s="261"/>
      <c r="C2" s="261"/>
    </row>
    <row r="3" spans="1:18" s="226" customFormat="1" ht="24" x14ac:dyDescent="0.15">
      <c r="A3" s="223" t="s">
        <v>43</v>
      </c>
      <c r="B3" s="223" t="s">
        <v>45</v>
      </c>
      <c r="C3" s="223" t="s">
        <v>47</v>
      </c>
      <c r="D3" s="223" t="s">
        <v>101</v>
      </c>
      <c r="E3" s="223" t="s">
        <v>102</v>
      </c>
      <c r="F3" s="223" t="s">
        <v>121</v>
      </c>
      <c r="G3" s="223" t="s">
        <v>103</v>
      </c>
      <c r="H3" s="223" t="s">
        <v>104</v>
      </c>
      <c r="I3" s="224" t="s">
        <v>122</v>
      </c>
      <c r="J3" s="224" t="s">
        <v>105</v>
      </c>
      <c r="K3" s="224" t="s">
        <v>106</v>
      </c>
      <c r="L3" s="224" t="s">
        <v>107</v>
      </c>
      <c r="M3" s="224" t="s">
        <v>108</v>
      </c>
      <c r="N3" s="224" t="s">
        <v>109</v>
      </c>
      <c r="O3" s="224" t="s">
        <v>110</v>
      </c>
      <c r="P3" s="224" t="s">
        <v>111</v>
      </c>
      <c r="Q3" s="224" t="s">
        <v>112</v>
      </c>
      <c r="R3" s="225" t="s">
        <v>158</v>
      </c>
    </row>
    <row r="4" spans="1:18" x14ac:dyDescent="0.15">
      <c r="A4" s="227" t="s">
        <v>173</v>
      </c>
      <c r="B4" s="228">
        <v>42888</v>
      </c>
      <c r="C4" s="227" t="s">
        <v>174</v>
      </c>
      <c r="D4" s="227" t="s">
        <v>331</v>
      </c>
      <c r="E4" s="227" t="s">
        <v>156</v>
      </c>
      <c r="F4" s="227" t="s">
        <v>157</v>
      </c>
      <c r="G4" s="228"/>
      <c r="H4" s="227"/>
      <c r="I4" s="229" t="s">
        <v>175</v>
      </c>
      <c r="J4" s="230"/>
      <c r="K4" s="229"/>
      <c r="L4" s="229"/>
      <c r="M4" s="229">
        <v>6</v>
      </c>
      <c r="N4" s="229" t="s">
        <v>192</v>
      </c>
      <c r="O4" s="229" t="s">
        <v>172</v>
      </c>
      <c r="P4" s="229"/>
      <c r="Q4" s="229"/>
      <c r="R4" s="231">
        <v>17700</v>
      </c>
    </row>
    <row r="5" spans="1:18" x14ac:dyDescent="0.15">
      <c r="A5" s="227" t="s">
        <v>168</v>
      </c>
      <c r="B5" s="228">
        <v>42877</v>
      </c>
      <c r="C5" s="227" t="s">
        <v>162</v>
      </c>
      <c r="D5" s="227"/>
      <c r="E5" s="227" t="s">
        <v>164</v>
      </c>
      <c r="F5" s="227" t="s">
        <v>166</v>
      </c>
      <c r="G5" s="228"/>
      <c r="H5" s="227"/>
      <c r="I5" s="229" t="s">
        <v>175</v>
      </c>
      <c r="J5" s="230"/>
      <c r="K5" s="229"/>
      <c r="L5" s="229"/>
      <c r="M5" s="229"/>
      <c r="N5" s="229" t="s">
        <v>170</v>
      </c>
      <c r="O5" s="229" t="s">
        <v>172</v>
      </c>
      <c r="P5" s="229"/>
      <c r="Q5" s="229"/>
      <c r="R5" s="231">
        <v>9150</v>
      </c>
    </row>
    <row r="6" spans="1:18" x14ac:dyDescent="0.15">
      <c r="A6" s="227" t="s">
        <v>169</v>
      </c>
      <c r="B6" s="228">
        <v>42873</v>
      </c>
      <c r="C6" s="227" t="s">
        <v>332</v>
      </c>
      <c r="D6" s="227" t="s">
        <v>333</v>
      </c>
      <c r="E6" s="227" t="s">
        <v>164</v>
      </c>
      <c r="F6" s="227" t="s">
        <v>166</v>
      </c>
      <c r="G6" s="228"/>
      <c r="H6" s="227"/>
      <c r="I6" s="229"/>
      <c r="J6" s="230"/>
      <c r="K6" s="229"/>
      <c r="L6" s="229"/>
      <c r="M6" s="229"/>
      <c r="N6" s="229"/>
      <c r="O6" s="229" t="s">
        <v>172</v>
      </c>
      <c r="P6" s="229"/>
      <c r="Q6" s="229" t="s">
        <v>171</v>
      </c>
      <c r="R6" s="231">
        <v>0</v>
      </c>
    </row>
    <row r="7" spans="1:18" ht="13.5" customHeight="1" x14ac:dyDescent="0.15">
      <c r="A7" s="227" t="s">
        <v>196</v>
      </c>
      <c r="B7" s="228">
        <v>43024</v>
      </c>
      <c r="C7" s="227" t="s">
        <v>334</v>
      </c>
      <c r="D7" s="227" t="s">
        <v>334</v>
      </c>
      <c r="E7" s="227" t="s">
        <v>156</v>
      </c>
      <c r="F7" s="227" t="s">
        <v>157</v>
      </c>
      <c r="G7" s="228"/>
      <c r="H7" s="227"/>
      <c r="I7" s="229" t="s">
        <v>175</v>
      </c>
      <c r="J7" s="230"/>
      <c r="K7" s="229"/>
      <c r="L7" s="229"/>
      <c r="M7" s="229"/>
      <c r="N7" s="229" t="s">
        <v>200</v>
      </c>
      <c r="O7" s="229" t="s">
        <v>172</v>
      </c>
      <c r="P7" s="229"/>
      <c r="Q7" s="229"/>
      <c r="R7" s="231">
        <v>41650</v>
      </c>
    </row>
    <row r="8" spans="1:18" ht="60" x14ac:dyDescent="0.15">
      <c r="A8" s="227" t="s">
        <v>205</v>
      </c>
      <c r="B8" s="228">
        <v>43119</v>
      </c>
      <c r="C8" s="232" t="s">
        <v>335</v>
      </c>
      <c r="D8" s="226" t="s">
        <v>335</v>
      </c>
      <c r="E8" s="227" t="s">
        <v>156</v>
      </c>
      <c r="F8" s="227" t="s">
        <v>157</v>
      </c>
      <c r="G8" s="228"/>
      <c r="H8" s="227"/>
      <c r="I8" s="229" t="s">
        <v>175</v>
      </c>
      <c r="J8" s="230"/>
      <c r="K8" s="229"/>
      <c r="L8" s="229"/>
      <c r="M8" s="229"/>
      <c r="N8" s="229" t="s">
        <v>207</v>
      </c>
      <c r="O8" s="229" t="s">
        <v>208</v>
      </c>
      <c r="P8" s="229"/>
      <c r="Q8" s="229"/>
      <c r="R8" s="231"/>
    </row>
    <row r="9" spans="1:18" x14ac:dyDescent="0.15">
      <c r="A9" s="227" t="s">
        <v>213</v>
      </c>
      <c r="B9" s="228">
        <v>43189</v>
      </c>
      <c r="C9" s="227" t="s">
        <v>215</v>
      </c>
      <c r="D9" s="227" t="s">
        <v>215</v>
      </c>
      <c r="E9" s="214" t="s">
        <v>214</v>
      </c>
      <c r="F9" s="214" t="s">
        <v>157</v>
      </c>
      <c r="G9" s="228"/>
      <c r="H9" s="227"/>
      <c r="I9" s="229" t="s">
        <v>175</v>
      </c>
      <c r="J9" s="230"/>
      <c r="K9" s="229"/>
      <c r="L9" s="229"/>
      <c r="M9" s="229"/>
      <c r="N9" s="229" t="s">
        <v>224</v>
      </c>
      <c r="O9" s="229" t="s">
        <v>172</v>
      </c>
      <c r="P9" s="229"/>
      <c r="Q9" s="229"/>
      <c r="R9" s="231"/>
    </row>
    <row r="10" spans="1:18" x14ac:dyDescent="0.15">
      <c r="A10" s="227" t="s">
        <v>237</v>
      </c>
      <c r="B10" s="228">
        <v>43188</v>
      </c>
      <c r="C10" s="227" t="s">
        <v>220</v>
      </c>
      <c r="D10" s="227" t="s">
        <v>220</v>
      </c>
      <c r="E10" s="227" t="s">
        <v>221</v>
      </c>
      <c r="F10" s="227" t="s">
        <v>218</v>
      </c>
      <c r="G10" s="228"/>
      <c r="H10" s="227"/>
      <c r="I10" s="229" t="s">
        <v>175</v>
      </c>
      <c r="J10" s="230"/>
      <c r="K10" s="229"/>
      <c r="L10" s="229"/>
      <c r="M10" s="229"/>
      <c r="N10" s="229" t="s">
        <v>224</v>
      </c>
      <c r="O10" s="229" t="s">
        <v>172</v>
      </c>
      <c r="P10" s="229"/>
      <c r="Q10" s="229"/>
      <c r="R10" s="231"/>
    </row>
    <row r="11" spans="1:18" ht="13.5" customHeight="1" x14ac:dyDescent="0.15">
      <c r="A11" s="227" t="s">
        <v>237</v>
      </c>
      <c r="B11" s="228">
        <v>43192</v>
      </c>
      <c r="C11" s="227" t="s">
        <v>216</v>
      </c>
      <c r="D11" s="227" t="s">
        <v>216</v>
      </c>
      <c r="E11" s="227" t="s">
        <v>219</v>
      </c>
      <c r="F11" s="227" t="s">
        <v>218</v>
      </c>
      <c r="G11" s="228"/>
      <c r="H11" s="227"/>
      <c r="I11" s="229" t="s">
        <v>175</v>
      </c>
      <c r="J11" s="230"/>
      <c r="K11" s="229"/>
      <c r="L11" s="229"/>
      <c r="M11" s="229"/>
      <c r="N11" s="229" t="s">
        <v>241</v>
      </c>
      <c r="O11" s="229" t="s">
        <v>172</v>
      </c>
      <c r="P11" s="229"/>
      <c r="Q11" s="229"/>
      <c r="R11" s="231"/>
    </row>
    <row r="12" spans="1:18" ht="13.5" customHeight="1" x14ac:dyDescent="0.15">
      <c r="A12" s="227" t="s">
        <v>237</v>
      </c>
      <c r="B12" s="228">
        <v>43199</v>
      </c>
      <c r="C12" s="227" t="s">
        <v>217</v>
      </c>
      <c r="D12" s="227" t="s">
        <v>217</v>
      </c>
      <c r="E12" s="232" t="s">
        <v>336</v>
      </c>
      <c r="F12" s="232" t="s">
        <v>218</v>
      </c>
      <c r="G12" s="228"/>
      <c r="H12" s="227"/>
      <c r="I12" s="229" t="s">
        <v>175</v>
      </c>
      <c r="J12" s="230"/>
      <c r="K12" s="229"/>
      <c r="L12" s="229"/>
      <c r="M12" s="229"/>
      <c r="N12" s="229" t="s">
        <v>224</v>
      </c>
      <c r="O12" s="229" t="s">
        <v>172</v>
      </c>
      <c r="P12" s="229"/>
      <c r="Q12" s="229"/>
      <c r="R12" s="231"/>
    </row>
    <row r="13" spans="1:18" x14ac:dyDescent="0.15">
      <c r="A13" s="227" t="s">
        <v>237</v>
      </c>
      <c r="B13" s="228">
        <v>43203</v>
      </c>
      <c r="C13" s="227" t="s">
        <v>222</v>
      </c>
      <c r="D13" s="227" t="s">
        <v>222</v>
      </c>
      <c r="E13" s="232" t="s">
        <v>214</v>
      </c>
      <c r="F13" s="232" t="s">
        <v>157</v>
      </c>
      <c r="G13" s="228"/>
      <c r="H13" s="227"/>
      <c r="I13" s="229" t="s">
        <v>175</v>
      </c>
      <c r="J13" s="230"/>
      <c r="K13" s="229"/>
      <c r="L13" s="229"/>
      <c r="M13" s="229"/>
      <c r="N13" s="229" t="s">
        <v>224</v>
      </c>
      <c r="O13" s="229" t="s">
        <v>172</v>
      </c>
      <c r="P13" s="229"/>
      <c r="Q13" s="229"/>
      <c r="R13" s="231"/>
    </row>
    <row r="14" spans="1:18" ht="12.75" x14ac:dyDescent="0.15">
      <c r="A14" s="233" t="s">
        <v>237</v>
      </c>
      <c r="B14" s="228">
        <v>43270</v>
      </c>
      <c r="C14" s="227" t="s">
        <v>251</v>
      </c>
      <c r="D14" s="227" t="s">
        <v>251</v>
      </c>
      <c r="E14" s="232"/>
      <c r="F14" s="232"/>
      <c r="G14" s="228"/>
      <c r="H14" s="227"/>
      <c r="I14" s="229" t="s">
        <v>175</v>
      </c>
      <c r="J14" s="230"/>
      <c r="K14" s="229"/>
      <c r="L14" s="229"/>
      <c r="M14" s="229"/>
      <c r="N14" s="229" t="s">
        <v>248</v>
      </c>
      <c r="O14" s="229" t="s">
        <v>337</v>
      </c>
      <c r="P14" s="229"/>
      <c r="Q14" s="229"/>
      <c r="R14" s="231"/>
    </row>
    <row r="15" spans="1:18" x14ac:dyDescent="0.15">
      <c r="A15" s="227" t="s">
        <v>258</v>
      </c>
      <c r="B15" s="228">
        <v>43239</v>
      </c>
      <c r="C15" s="234" t="s">
        <v>255</v>
      </c>
      <c r="D15" s="227" t="s">
        <v>256</v>
      </c>
      <c r="E15" s="232" t="s">
        <v>338</v>
      </c>
      <c r="F15" s="232" t="s">
        <v>339</v>
      </c>
      <c r="G15" s="228"/>
      <c r="H15" s="227"/>
      <c r="I15" s="229" t="s">
        <v>175</v>
      </c>
      <c r="J15" s="230"/>
      <c r="K15" s="229"/>
      <c r="L15" s="229"/>
      <c r="M15" s="229"/>
      <c r="N15" s="229" t="s">
        <v>252</v>
      </c>
      <c r="O15" s="229" t="s">
        <v>337</v>
      </c>
      <c r="P15" s="229"/>
      <c r="Q15" s="229"/>
      <c r="R15" s="231"/>
    </row>
    <row r="16" spans="1:18" ht="13.5" customHeight="1" x14ac:dyDescent="0.15">
      <c r="A16" s="227" t="s">
        <v>264</v>
      </c>
      <c r="B16" s="228">
        <v>43391</v>
      </c>
      <c r="C16" s="227" t="s">
        <v>263</v>
      </c>
      <c r="D16" s="227" t="s">
        <v>343</v>
      </c>
      <c r="E16" s="232" t="s">
        <v>340</v>
      </c>
      <c r="F16" s="232" t="s">
        <v>339</v>
      </c>
      <c r="G16" s="228"/>
      <c r="H16" s="227"/>
      <c r="I16" s="229" t="s">
        <v>175</v>
      </c>
      <c r="J16" s="230"/>
      <c r="K16" s="229"/>
      <c r="L16" s="229"/>
      <c r="M16" s="229"/>
      <c r="N16" s="229" t="s">
        <v>266</v>
      </c>
      <c r="O16" s="229" t="s">
        <v>274</v>
      </c>
      <c r="P16" s="229"/>
      <c r="Q16" s="229"/>
      <c r="R16" s="231"/>
    </row>
    <row r="17" spans="1:18" ht="13.5" customHeight="1" x14ac:dyDescent="0.15">
      <c r="A17" s="227" t="s">
        <v>269</v>
      </c>
      <c r="B17" s="228">
        <v>43347</v>
      </c>
      <c r="C17" s="227" t="s">
        <v>271</v>
      </c>
      <c r="D17" s="227" t="s">
        <v>271</v>
      </c>
      <c r="E17" s="232" t="s">
        <v>341</v>
      </c>
      <c r="F17" s="232" t="s">
        <v>339</v>
      </c>
      <c r="G17" s="228"/>
      <c r="H17" s="227"/>
      <c r="I17" s="229" t="s">
        <v>175</v>
      </c>
      <c r="J17" s="230"/>
      <c r="K17" s="229"/>
      <c r="L17" s="229"/>
      <c r="M17" s="229"/>
      <c r="N17" s="229" t="s">
        <v>266</v>
      </c>
      <c r="O17" s="229" t="s">
        <v>337</v>
      </c>
      <c r="P17" s="229"/>
      <c r="Q17" s="229" t="s">
        <v>276</v>
      </c>
      <c r="R17" s="231">
        <v>10900</v>
      </c>
    </row>
    <row r="18" spans="1:18" ht="13.5" customHeight="1" x14ac:dyDescent="0.15">
      <c r="A18" s="227"/>
      <c r="B18" s="228"/>
      <c r="C18" s="227" t="s">
        <v>351</v>
      </c>
      <c r="D18" s="227" t="s">
        <v>342</v>
      </c>
      <c r="E18" s="227" t="s">
        <v>277</v>
      </c>
      <c r="F18" s="227" t="s">
        <v>278</v>
      </c>
      <c r="G18" s="228"/>
      <c r="H18" s="227"/>
      <c r="I18" s="229" t="s">
        <v>317</v>
      </c>
      <c r="J18" s="230"/>
      <c r="K18" s="229"/>
      <c r="L18" s="229"/>
      <c r="M18" s="229"/>
      <c r="N18" s="229"/>
      <c r="O18" s="229"/>
      <c r="P18" s="229"/>
      <c r="Q18" s="229"/>
      <c r="R18" s="231">
        <v>32800</v>
      </c>
    </row>
    <row r="19" spans="1:18" ht="13.5" customHeight="1" x14ac:dyDescent="0.15">
      <c r="A19" s="227" t="s">
        <v>352</v>
      </c>
      <c r="B19" s="228"/>
      <c r="C19" s="227" t="s">
        <v>346</v>
      </c>
      <c r="D19" s="227" t="s">
        <v>346</v>
      </c>
      <c r="E19" s="232" t="s">
        <v>347</v>
      </c>
      <c r="F19" s="232" t="s">
        <v>348</v>
      </c>
      <c r="G19" s="228"/>
      <c r="H19" s="227"/>
      <c r="I19" s="229" t="s">
        <v>349</v>
      </c>
      <c r="J19" s="230"/>
      <c r="K19" s="229"/>
      <c r="L19" s="229"/>
      <c r="M19" s="229"/>
      <c r="N19" s="229"/>
      <c r="O19" s="229"/>
      <c r="P19" s="229"/>
      <c r="Q19" s="229" t="s">
        <v>353</v>
      </c>
      <c r="R19" s="231">
        <v>31300</v>
      </c>
    </row>
    <row r="20" spans="1:18" ht="13.5" customHeight="1" x14ac:dyDescent="0.15">
      <c r="A20" s="227"/>
      <c r="B20" s="228"/>
      <c r="C20" s="227" t="s">
        <v>350</v>
      </c>
      <c r="D20" s="227" t="s">
        <v>350</v>
      </c>
      <c r="E20" s="232" t="s">
        <v>347</v>
      </c>
      <c r="F20" s="232" t="s">
        <v>348</v>
      </c>
      <c r="G20" s="228"/>
      <c r="H20" s="227"/>
      <c r="I20" s="229" t="s">
        <v>349</v>
      </c>
      <c r="J20" s="230"/>
      <c r="K20" s="229"/>
      <c r="L20" s="229"/>
      <c r="M20" s="229"/>
      <c r="N20" s="229"/>
      <c r="O20" s="229"/>
      <c r="P20" s="229"/>
      <c r="Q20" s="229"/>
      <c r="R20" s="231"/>
    </row>
    <row r="21" spans="1:18" ht="13.5" customHeight="1" x14ac:dyDescent="0.15">
      <c r="A21" s="227"/>
      <c r="B21" s="228"/>
      <c r="C21" s="227"/>
      <c r="D21" s="227"/>
      <c r="E21" s="232"/>
      <c r="F21" s="232"/>
      <c r="G21" s="228"/>
      <c r="H21" s="227"/>
      <c r="I21" s="229"/>
      <c r="J21" s="230"/>
      <c r="K21" s="229"/>
      <c r="L21" s="229"/>
      <c r="M21" s="229"/>
      <c r="N21" s="229"/>
      <c r="O21" s="229"/>
      <c r="P21" s="229"/>
      <c r="Q21" s="229"/>
      <c r="R21" s="231"/>
    </row>
    <row r="22" spans="1:18" ht="13.5" customHeight="1" x14ac:dyDescent="0.15">
      <c r="A22" s="227"/>
      <c r="B22" s="228"/>
      <c r="C22" s="227"/>
      <c r="D22" s="227"/>
      <c r="E22" s="232"/>
      <c r="F22" s="232"/>
      <c r="G22" s="228"/>
      <c r="H22" s="227"/>
      <c r="I22" s="229"/>
      <c r="J22" s="230"/>
      <c r="K22" s="229"/>
      <c r="L22" s="229"/>
      <c r="M22" s="229"/>
      <c r="N22" s="229"/>
      <c r="O22" s="229"/>
      <c r="P22" s="229"/>
      <c r="Q22" s="229"/>
      <c r="R22" s="231"/>
    </row>
    <row r="23" spans="1:18" ht="13.5" customHeight="1" x14ac:dyDescent="0.15">
      <c r="A23" s="227"/>
      <c r="B23" s="228"/>
      <c r="C23" s="227"/>
      <c r="D23" s="227"/>
      <c r="E23" s="227"/>
      <c r="F23" s="227"/>
      <c r="G23" s="228"/>
      <c r="H23" s="227"/>
      <c r="I23" s="229"/>
      <c r="J23" s="230"/>
      <c r="K23" s="229"/>
      <c r="L23" s="229"/>
      <c r="M23" s="229"/>
      <c r="N23" s="229"/>
      <c r="O23" s="229"/>
      <c r="P23" s="229"/>
      <c r="Q23" s="229"/>
      <c r="R23" s="231"/>
    </row>
    <row r="24" spans="1:18" ht="13.5" customHeight="1" x14ac:dyDescent="0.15">
      <c r="A24" s="227"/>
      <c r="B24" s="228"/>
      <c r="C24" s="227"/>
      <c r="D24" s="227"/>
      <c r="E24" s="227"/>
      <c r="F24" s="227"/>
      <c r="G24" s="228"/>
      <c r="H24" s="227"/>
      <c r="I24" s="229"/>
      <c r="J24" s="230"/>
      <c r="K24" s="229"/>
      <c r="L24" s="229"/>
      <c r="M24" s="229"/>
      <c r="N24" s="229"/>
      <c r="O24" s="229"/>
      <c r="P24" s="229"/>
      <c r="Q24" s="229"/>
      <c r="R24" s="231"/>
    </row>
    <row r="25" spans="1:18" ht="13.5" customHeight="1" x14ac:dyDescent="0.15">
      <c r="A25" s="227"/>
      <c r="B25" s="228"/>
      <c r="C25" s="227"/>
      <c r="D25" s="227"/>
      <c r="E25" s="227"/>
      <c r="F25" s="227"/>
      <c r="G25" s="228"/>
      <c r="H25" s="227"/>
      <c r="I25" s="229"/>
      <c r="J25" s="230"/>
      <c r="K25" s="229"/>
      <c r="L25" s="229"/>
      <c r="M25" s="229"/>
      <c r="N25" s="229"/>
      <c r="O25" s="229"/>
      <c r="P25" s="229"/>
      <c r="Q25" s="229"/>
      <c r="R25" s="231"/>
    </row>
    <row r="26" spans="1:18" ht="13.5" customHeight="1" x14ac:dyDescent="0.15">
      <c r="A26" s="227"/>
      <c r="B26" s="228"/>
      <c r="C26" s="227"/>
      <c r="D26" s="227"/>
      <c r="E26" s="227"/>
      <c r="F26" s="227"/>
      <c r="G26" s="228"/>
      <c r="H26" s="227"/>
      <c r="I26" s="229"/>
      <c r="J26" s="230"/>
      <c r="K26" s="229"/>
      <c r="L26" s="229"/>
      <c r="M26" s="229"/>
      <c r="N26" s="229"/>
      <c r="O26" s="229"/>
      <c r="P26" s="229"/>
      <c r="Q26" s="229"/>
      <c r="R26" s="231"/>
    </row>
    <row r="27" spans="1:18" x14ac:dyDescent="0.15">
      <c r="A27" s="227"/>
      <c r="B27" s="228"/>
      <c r="C27" s="227"/>
      <c r="D27" s="227"/>
      <c r="E27" s="227"/>
      <c r="F27" s="227"/>
      <c r="G27" s="235"/>
      <c r="H27" s="227"/>
      <c r="I27" s="229"/>
      <c r="J27" s="230"/>
      <c r="K27" s="229"/>
      <c r="L27" s="229"/>
      <c r="M27" s="229"/>
      <c r="N27" s="229"/>
      <c r="O27" s="229"/>
      <c r="P27" s="229"/>
      <c r="Q27" s="229"/>
      <c r="R27" s="231"/>
    </row>
    <row r="28" spans="1:18" x14ac:dyDescent="0.15">
      <c r="A28" s="227"/>
      <c r="B28" s="228"/>
      <c r="C28" s="227"/>
      <c r="D28" s="227"/>
      <c r="E28" s="232"/>
      <c r="F28" s="232"/>
      <c r="G28" s="235"/>
      <c r="H28" s="227"/>
      <c r="I28" s="229"/>
      <c r="J28" s="230"/>
      <c r="K28" s="229"/>
      <c r="L28" s="229"/>
      <c r="M28" s="229"/>
      <c r="N28" s="229"/>
      <c r="O28" s="229"/>
      <c r="P28" s="229"/>
      <c r="Q28" s="229"/>
      <c r="R28" s="231"/>
    </row>
    <row r="29" spans="1:18" x14ac:dyDescent="0.15">
      <c r="A29" s="227"/>
      <c r="B29" s="228"/>
      <c r="C29" s="227"/>
      <c r="D29" s="227"/>
      <c r="E29" s="227"/>
      <c r="F29" s="227"/>
      <c r="G29" s="228"/>
      <c r="H29" s="227"/>
      <c r="I29" s="229"/>
      <c r="J29" s="230"/>
      <c r="K29" s="229"/>
      <c r="L29" s="229"/>
      <c r="M29" s="229"/>
      <c r="N29" s="229"/>
      <c r="O29" s="229"/>
      <c r="P29" s="229"/>
      <c r="Q29" s="229"/>
      <c r="R29" s="231"/>
    </row>
    <row r="30" spans="1:18" x14ac:dyDescent="0.15">
      <c r="A30" s="227"/>
      <c r="B30" s="228"/>
      <c r="C30" s="227"/>
      <c r="D30" s="227"/>
      <c r="E30" s="227"/>
      <c r="F30" s="227"/>
      <c r="G30" s="235"/>
      <c r="H30" s="227"/>
      <c r="I30" s="229"/>
      <c r="J30" s="230"/>
      <c r="K30" s="229"/>
      <c r="L30" s="229"/>
      <c r="M30" s="229"/>
      <c r="N30" s="229"/>
      <c r="O30" s="229"/>
      <c r="P30" s="229"/>
      <c r="Q30" s="229"/>
      <c r="R30" s="231"/>
    </row>
    <row r="31" spans="1:18" x14ac:dyDescent="0.15">
      <c r="A31" s="227"/>
      <c r="B31" s="228"/>
      <c r="C31" s="227"/>
      <c r="D31" s="227"/>
      <c r="E31" s="227"/>
      <c r="F31" s="227"/>
      <c r="G31" s="235"/>
      <c r="H31" s="227"/>
      <c r="I31" s="229"/>
      <c r="J31" s="230"/>
      <c r="K31" s="229"/>
      <c r="L31" s="229"/>
      <c r="M31" s="229"/>
      <c r="N31" s="229"/>
      <c r="O31" s="229"/>
      <c r="P31" s="229"/>
      <c r="Q31" s="229"/>
      <c r="R31" s="231"/>
    </row>
    <row r="32" spans="1:18" x14ac:dyDescent="0.15">
      <c r="A32" s="227"/>
      <c r="B32" s="228"/>
      <c r="C32" s="227"/>
      <c r="D32" s="227"/>
      <c r="E32" s="227"/>
      <c r="F32" s="227"/>
      <c r="G32" s="235"/>
      <c r="H32" s="227"/>
      <c r="I32" s="229"/>
      <c r="J32" s="230"/>
      <c r="K32" s="229"/>
      <c r="L32" s="229"/>
      <c r="M32" s="229"/>
      <c r="N32" s="229"/>
      <c r="O32" s="229"/>
      <c r="P32" s="229"/>
      <c r="Q32" s="229"/>
      <c r="R32" s="231"/>
    </row>
    <row r="33" spans="1:18" x14ac:dyDescent="0.15">
      <c r="A33" s="227"/>
      <c r="B33" s="228"/>
      <c r="C33" s="227"/>
      <c r="D33" s="227"/>
      <c r="E33" s="229"/>
      <c r="F33" s="229"/>
      <c r="G33" s="228"/>
      <c r="H33" s="229"/>
      <c r="I33" s="229"/>
      <c r="J33" s="230"/>
      <c r="K33" s="229"/>
      <c r="L33" s="229"/>
      <c r="M33" s="229"/>
      <c r="N33" s="229"/>
      <c r="O33" s="229"/>
      <c r="P33" s="229"/>
      <c r="Q33" s="229"/>
      <c r="R33" s="231"/>
    </row>
    <row r="34" spans="1:18" x14ac:dyDescent="0.15">
      <c r="A34" s="227"/>
      <c r="B34" s="228"/>
      <c r="C34" s="227"/>
      <c r="D34" s="227"/>
      <c r="E34" s="227"/>
      <c r="F34" s="227"/>
      <c r="G34" s="228"/>
      <c r="H34" s="227"/>
      <c r="I34" s="229"/>
      <c r="J34" s="230"/>
      <c r="K34" s="229"/>
      <c r="L34" s="229"/>
      <c r="M34" s="229"/>
      <c r="N34" s="229"/>
      <c r="O34" s="229"/>
      <c r="P34" s="229"/>
      <c r="Q34" s="229"/>
      <c r="R34" s="231"/>
    </row>
    <row r="35" spans="1:18" x14ac:dyDescent="0.15">
      <c r="A35" s="227"/>
      <c r="B35" s="228"/>
      <c r="C35" s="227"/>
      <c r="D35" s="227"/>
      <c r="E35" s="227"/>
      <c r="F35" s="227"/>
      <c r="G35" s="235"/>
      <c r="H35" s="227"/>
      <c r="I35" s="229"/>
      <c r="J35" s="230"/>
      <c r="K35" s="229"/>
      <c r="L35" s="229"/>
      <c r="M35" s="229"/>
      <c r="N35" s="229"/>
      <c r="O35" s="229"/>
      <c r="P35" s="229"/>
      <c r="Q35" s="229"/>
      <c r="R35" s="231"/>
    </row>
    <row r="36" spans="1:18" x14ac:dyDescent="0.15">
      <c r="A36" s="227"/>
      <c r="B36" s="228"/>
      <c r="C36" s="227"/>
      <c r="D36" s="227"/>
      <c r="E36" s="227"/>
      <c r="F36" s="227"/>
      <c r="G36" s="235"/>
      <c r="H36" s="227"/>
      <c r="I36" s="229"/>
      <c r="J36" s="230"/>
      <c r="K36" s="229"/>
      <c r="L36" s="229"/>
      <c r="M36" s="229"/>
      <c r="N36" s="229"/>
      <c r="O36" s="229"/>
      <c r="P36" s="229"/>
      <c r="Q36" s="229"/>
      <c r="R36" s="231"/>
    </row>
    <row r="37" spans="1:18" x14ac:dyDescent="0.15">
      <c r="A37" s="227"/>
      <c r="B37" s="228"/>
      <c r="C37" s="227"/>
      <c r="D37" s="227"/>
      <c r="E37" s="227"/>
      <c r="F37" s="227"/>
      <c r="G37" s="235"/>
      <c r="H37" s="227"/>
      <c r="I37" s="229"/>
      <c r="J37" s="230"/>
      <c r="K37" s="229"/>
      <c r="L37" s="229"/>
      <c r="M37" s="229"/>
      <c r="N37" s="229"/>
      <c r="O37" s="229"/>
      <c r="P37" s="229"/>
      <c r="Q37" s="229"/>
      <c r="R37" s="231"/>
    </row>
    <row r="38" spans="1:18" x14ac:dyDescent="0.15">
      <c r="A38" s="227"/>
      <c r="B38" s="228"/>
      <c r="C38" s="227"/>
      <c r="D38" s="227"/>
      <c r="E38" s="227"/>
      <c r="F38" s="227"/>
      <c r="G38" s="235"/>
      <c r="H38" s="227"/>
      <c r="I38" s="229"/>
      <c r="J38" s="230"/>
      <c r="K38" s="229"/>
      <c r="L38" s="229"/>
      <c r="M38" s="229"/>
      <c r="N38" s="229"/>
      <c r="O38" s="229"/>
      <c r="P38" s="229"/>
      <c r="Q38" s="229"/>
      <c r="R38" s="231"/>
    </row>
    <row r="39" spans="1:18" x14ac:dyDescent="0.15">
      <c r="A39" s="229"/>
      <c r="B39" s="229"/>
      <c r="C39" s="229"/>
      <c r="D39" s="229"/>
      <c r="E39" s="227"/>
      <c r="F39" s="227"/>
      <c r="G39" s="235"/>
      <c r="H39" s="227"/>
      <c r="I39" s="229"/>
      <c r="J39" s="230"/>
      <c r="K39" s="229"/>
      <c r="L39" s="229"/>
      <c r="M39" s="229"/>
      <c r="N39" s="229"/>
      <c r="O39" s="229"/>
      <c r="P39" s="229"/>
      <c r="Q39" s="229"/>
      <c r="R39" s="231"/>
    </row>
    <row r="40" spans="1:18" x14ac:dyDescent="0.15">
      <c r="A40" s="229"/>
      <c r="B40" s="229"/>
      <c r="C40" s="229"/>
      <c r="D40" s="229"/>
      <c r="E40" s="227"/>
      <c r="F40" s="227"/>
      <c r="G40" s="235"/>
      <c r="H40" s="227"/>
      <c r="I40" s="229"/>
      <c r="J40" s="230"/>
      <c r="K40" s="229"/>
      <c r="L40" s="229"/>
      <c r="M40" s="229"/>
      <c r="N40" s="229"/>
      <c r="O40" s="229"/>
      <c r="P40" s="229"/>
      <c r="Q40" s="229"/>
      <c r="R40" s="231"/>
    </row>
    <row r="41" spans="1:18" x14ac:dyDescent="0.15">
      <c r="A41" s="229"/>
      <c r="B41" s="229"/>
      <c r="C41" s="229"/>
      <c r="D41" s="229"/>
      <c r="E41" s="229"/>
      <c r="F41" s="229"/>
      <c r="G41" s="235"/>
      <c r="H41" s="229"/>
      <c r="I41" s="229"/>
      <c r="J41" s="229"/>
      <c r="K41" s="229"/>
      <c r="L41" s="229"/>
      <c r="M41" s="229"/>
      <c r="N41" s="229"/>
      <c r="O41" s="229"/>
      <c r="P41" s="229"/>
      <c r="Q41" s="229"/>
      <c r="R41" s="231"/>
    </row>
    <row r="42" spans="1:18" x14ac:dyDescent="0.15">
      <c r="A42" s="229"/>
      <c r="B42" s="229"/>
      <c r="C42" s="229"/>
      <c r="D42" s="229"/>
      <c r="E42" s="229"/>
      <c r="F42" s="229"/>
      <c r="G42" s="235"/>
      <c r="H42" s="229"/>
      <c r="I42" s="229"/>
      <c r="J42" s="230"/>
      <c r="K42" s="229"/>
      <c r="L42" s="229"/>
      <c r="M42" s="229"/>
      <c r="N42" s="229"/>
      <c r="O42" s="229"/>
      <c r="P42" s="229"/>
      <c r="Q42" s="229"/>
      <c r="R42" s="231"/>
    </row>
    <row r="43" spans="1:18" x14ac:dyDescent="0.15">
      <c r="A43" s="229"/>
      <c r="B43" s="229"/>
      <c r="C43" s="229"/>
      <c r="D43" s="229"/>
      <c r="E43" s="229"/>
      <c r="F43" s="229"/>
      <c r="G43" s="235"/>
      <c r="H43" s="229"/>
      <c r="I43" s="229"/>
      <c r="J43" s="230"/>
      <c r="K43" s="229"/>
      <c r="L43" s="229"/>
      <c r="M43" s="229"/>
      <c r="N43" s="229"/>
      <c r="O43" s="229"/>
      <c r="P43" s="229"/>
      <c r="Q43" s="229"/>
      <c r="R43" s="231"/>
    </row>
    <row r="44" spans="1:18" x14ac:dyDescent="0.15">
      <c r="A44" s="229"/>
      <c r="B44" s="229"/>
      <c r="C44" s="229"/>
      <c r="D44" s="229"/>
      <c r="E44" s="229"/>
      <c r="F44" s="229"/>
      <c r="G44" s="235"/>
      <c r="H44" s="229"/>
      <c r="I44" s="229"/>
      <c r="J44" s="230"/>
      <c r="K44" s="229"/>
      <c r="L44" s="229"/>
      <c r="M44" s="229"/>
      <c r="N44" s="229"/>
      <c r="O44" s="229"/>
      <c r="P44" s="229"/>
      <c r="Q44" s="229"/>
      <c r="R44" s="231"/>
    </row>
    <row r="45" spans="1:18" x14ac:dyDescent="0.15">
      <c r="A45" s="229"/>
      <c r="B45" s="229"/>
      <c r="C45" s="229"/>
      <c r="D45" s="229"/>
      <c r="E45" s="229"/>
      <c r="F45" s="229"/>
      <c r="G45" s="235"/>
      <c r="H45" s="229"/>
      <c r="I45" s="229"/>
      <c r="J45" s="230"/>
      <c r="K45" s="229"/>
      <c r="L45" s="229"/>
      <c r="M45" s="229"/>
      <c r="N45" s="229"/>
      <c r="O45" s="229"/>
      <c r="P45" s="229"/>
      <c r="Q45" s="229"/>
      <c r="R45" s="231"/>
    </row>
    <row r="46" spans="1:18" x14ac:dyDescent="0.15">
      <c r="A46" s="229"/>
      <c r="B46" s="229"/>
      <c r="C46" s="229"/>
      <c r="D46" s="229"/>
      <c r="E46" s="229"/>
      <c r="F46" s="229"/>
      <c r="G46" s="235"/>
      <c r="H46" s="229"/>
      <c r="I46" s="229"/>
      <c r="J46" s="230"/>
      <c r="K46" s="229"/>
      <c r="L46" s="229"/>
      <c r="M46" s="229"/>
      <c r="N46" s="229"/>
      <c r="O46" s="229"/>
      <c r="P46" s="229"/>
      <c r="Q46" s="229"/>
      <c r="R46" s="231"/>
    </row>
    <row r="47" spans="1:18" x14ac:dyDescent="0.15">
      <c r="A47" s="229"/>
      <c r="B47" s="229"/>
      <c r="C47" s="229"/>
      <c r="D47" s="229"/>
      <c r="E47" s="229"/>
      <c r="F47" s="229"/>
      <c r="G47" s="235"/>
      <c r="H47" s="229"/>
      <c r="I47" s="229"/>
      <c r="J47" s="230"/>
      <c r="K47" s="229"/>
      <c r="L47" s="229"/>
      <c r="M47" s="229"/>
      <c r="N47" s="229"/>
      <c r="O47" s="229"/>
      <c r="P47" s="229"/>
      <c r="Q47" s="229"/>
      <c r="R47" s="231"/>
    </row>
    <row r="48" spans="1:18" x14ac:dyDescent="0.15">
      <c r="A48" s="229"/>
      <c r="B48" s="229"/>
      <c r="C48" s="229"/>
      <c r="D48" s="229"/>
      <c r="E48" s="229"/>
      <c r="F48" s="229"/>
      <c r="G48" s="229"/>
      <c r="H48" s="229"/>
      <c r="I48" s="229"/>
      <c r="J48" s="229"/>
      <c r="K48" s="229"/>
      <c r="L48" s="229"/>
      <c r="M48" s="229"/>
      <c r="N48" s="229"/>
      <c r="O48" s="229"/>
      <c r="P48" s="229"/>
      <c r="Q48" s="229"/>
      <c r="R48" s="231"/>
    </row>
    <row r="49" spans="1:18" x14ac:dyDescent="0.15">
      <c r="A49" s="229"/>
      <c r="B49" s="229"/>
      <c r="C49" s="229"/>
      <c r="D49" s="229"/>
      <c r="E49" s="229"/>
      <c r="F49" s="229"/>
      <c r="G49" s="229"/>
      <c r="H49" s="229"/>
      <c r="I49" s="229"/>
      <c r="J49" s="229"/>
      <c r="K49" s="229"/>
      <c r="L49" s="229"/>
      <c r="M49" s="229"/>
      <c r="N49" s="229"/>
      <c r="O49" s="229"/>
      <c r="P49" s="229"/>
      <c r="Q49" s="229"/>
      <c r="R49" s="231"/>
    </row>
    <row r="50" spans="1:18" x14ac:dyDescent="0.15">
      <c r="A50" s="229"/>
      <c r="B50" s="229"/>
      <c r="C50" s="229"/>
      <c r="D50" s="229"/>
      <c r="E50" s="229"/>
      <c r="F50" s="229"/>
      <c r="G50" s="229"/>
      <c r="H50" s="229"/>
      <c r="I50" s="229"/>
      <c r="J50" s="229"/>
      <c r="K50" s="229"/>
      <c r="L50" s="229"/>
      <c r="M50" s="229"/>
      <c r="N50" s="229"/>
      <c r="O50" s="229"/>
      <c r="P50" s="229"/>
      <c r="Q50" s="229"/>
      <c r="R50" s="231"/>
    </row>
    <row r="51" spans="1:18" x14ac:dyDescent="0.15">
      <c r="A51" s="229"/>
      <c r="B51" s="229"/>
      <c r="C51" s="229"/>
      <c r="D51" s="229"/>
      <c r="E51" s="229"/>
      <c r="F51" s="229"/>
      <c r="G51" s="229"/>
      <c r="H51" s="229"/>
      <c r="I51" s="229"/>
      <c r="J51" s="229"/>
      <c r="K51" s="229"/>
      <c r="L51" s="229"/>
      <c r="M51" s="229"/>
      <c r="N51" s="229"/>
      <c r="O51" s="229"/>
      <c r="P51" s="229"/>
      <c r="Q51" s="229"/>
      <c r="R51" s="231"/>
    </row>
    <row r="52" spans="1:18" x14ac:dyDescent="0.15">
      <c r="A52" s="229"/>
      <c r="B52" s="229"/>
      <c r="C52" s="229"/>
      <c r="D52" s="229"/>
      <c r="E52" s="229"/>
      <c r="F52" s="229"/>
      <c r="G52" s="229"/>
      <c r="H52" s="229"/>
      <c r="I52" s="229"/>
      <c r="J52" s="229"/>
      <c r="K52" s="229"/>
      <c r="L52" s="229"/>
      <c r="M52" s="229"/>
      <c r="N52" s="229"/>
      <c r="O52" s="229"/>
      <c r="P52" s="229"/>
      <c r="Q52" s="229"/>
      <c r="R52" s="231"/>
    </row>
    <row r="53" spans="1:18" x14ac:dyDescent="0.15">
      <c r="A53" s="229"/>
      <c r="B53" s="229"/>
      <c r="C53" s="229"/>
      <c r="D53" s="229"/>
      <c r="E53" s="229"/>
      <c r="F53" s="229"/>
      <c r="G53" s="229"/>
      <c r="H53" s="229"/>
      <c r="I53" s="229"/>
      <c r="J53" s="229"/>
      <c r="K53" s="229"/>
      <c r="L53" s="229"/>
      <c r="M53" s="229"/>
      <c r="N53" s="229"/>
      <c r="O53" s="229"/>
      <c r="P53" s="229"/>
      <c r="Q53" s="229"/>
      <c r="R53" s="231"/>
    </row>
    <row r="54" spans="1:18" x14ac:dyDescent="0.15">
      <c r="A54" s="229"/>
      <c r="B54" s="229"/>
      <c r="C54" s="229"/>
      <c r="D54" s="229"/>
      <c r="E54" s="229"/>
      <c r="F54" s="229"/>
      <c r="G54" s="229"/>
      <c r="H54" s="229"/>
      <c r="I54" s="229"/>
      <c r="J54" s="229"/>
      <c r="K54" s="229"/>
      <c r="L54" s="229"/>
      <c r="M54" s="229"/>
      <c r="N54" s="229"/>
      <c r="O54" s="229"/>
      <c r="P54" s="229"/>
      <c r="Q54" s="229"/>
      <c r="R54" s="231"/>
    </row>
    <row r="55" spans="1:18" x14ac:dyDescent="0.15">
      <c r="A55" s="229"/>
      <c r="B55" s="229"/>
      <c r="C55" s="229"/>
      <c r="D55" s="229"/>
      <c r="E55" s="229"/>
      <c r="F55" s="229"/>
      <c r="G55" s="229"/>
      <c r="H55" s="229"/>
      <c r="I55" s="229"/>
      <c r="J55" s="229"/>
      <c r="K55" s="229"/>
      <c r="L55" s="229"/>
      <c r="M55" s="229"/>
      <c r="N55" s="229"/>
      <c r="O55" s="229"/>
      <c r="P55" s="229"/>
      <c r="Q55" s="229"/>
      <c r="R55" s="231"/>
    </row>
    <row r="56" spans="1:18" x14ac:dyDescent="0.15">
      <c r="A56" s="229"/>
      <c r="B56" s="229"/>
      <c r="C56" s="229"/>
      <c r="D56" s="229"/>
      <c r="E56" s="229"/>
      <c r="F56" s="229"/>
      <c r="G56" s="229"/>
      <c r="H56" s="229"/>
      <c r="I56" s="229"/>
      <c r="J56" s="229"/>
      <c r="K56" s="229"/>
      <c r="L56" s="229"/>
      <c r="M56" s="229"/>
      <c r="N56" s="229"/>
      <c r="O56" s="229"/>
      <c r="P56" s="229"/>
      <c r="Q56" s="229"/>
      <c r="R56" s="231"/>
    </row>
    <row r="57" spans="1:18" x14ac:dyDescent="0.15">
      <c r="A57" s="229"/>
      <c r="B57" s="229"/>
      <c r="C57" s="229"/>
      <c r="D57" s="229"/>
      <c r="E57" s="229"/>
      <c r="F57" s="229"/>
      <c r="G57" s="229"/>
      <c r="H57" s="229"/>
      <c r="I57" s="229"/>
      <c r="J57" s="229"/>
      <c r="K57" s="229"/>
      <c r="L57" s="229"/>
      <c r="M57" s="229"/>
      <c r="N57" s="229"/>
      <c r="O57" s="229"/>
      <c r="P57" s="229"/>
      <c r="Q57" s="229"/>
      <c r="R57" s="231"/>
    </row>
    <row r="58" spans="1:18" x14ac:dyDescent="0.15">
      <c r="A58" s="229"/>
      <c r="B58" s="229"/>
      <c r="C58" s="229"/>
      <c r="D58" s="229"/>
      <c r="E58" s="229"/>
      <c r="F58" s="229"/>
      <c r="G58" s="229"/>
      <c r="H58" s="229"/>
      <c r="I58" s="229"/>
      <c r="J58" s="229"/>
      <c r="K58" s="229"/>
      <c r="L58" s="229"/>
      <c r="M58" s="229"/>
      <c r="N58" s="229"/>
      <c r="O58" s="229"/>
      <c r="P58" s="229"/>
      <c r="Q58" s="229"/>
      <c r="R58" s="231"/>
    </row>
    <row r="59" spans="1:18" x14ac:dyDescent="0.15">
      <c r="A59" s="229"/>
      <c r="B59" s="229"/>
      <c r="C59" s="229"/>
      <c r="D59" s="229"/>
      <c r="E59" s="229"/>
      <c r="F59" s="229"/>
      <c r="G59" s="229"/>
      <c r="H59" s="229"/>
      <c r="I59" s="229"/>
      <c r="J59" s="229"/>
      <c r="K59" s="229"/>
      <c r="L59" s="229"/>
      <c r="M59" s="229"/>
      <c r="N59" s="229"/>
      <c r="O59" s="229"/>
      <c r="P59" s="229"/>
      <c r="Q59" s="229"/>
      <c r="R59" s="231"/>
    </row>
    <row r="60" spans="1:18" x14ac:dyDescent="0.15">
      <c r="A60" s="229"/>
      <c r="B60" s="229"/>
      <c r="C60" s="229"/>
      <c r="D60" s="229"/>
      <c r="E60" s="229"/>
      <c r="F60" s="229"/>
      <c r="G60" s="229"/>
      <c r="H60" s="229"/>
      <c r="I60" s="229"/>
      <c r="J60" s="229"/>
      <c r="K60" s="229"/>
      <c r="L60" s="229"/>
      <c r="M60" s="229"/>
      <c r="N60" s="229"/>
      <c r="O60" s="229"/>
      <c r="P60" s="229"/>
      <c r="Q60" s="229"/>
      <c r="R60" s="231"/>
    </row>
    <row r="61" spans="1:18" x14ac:dyDescent="0.15">
      <c r="A61" s="229"/>
      <c r="B61" s="229"/>
      <c r="C61" s="229"/>
      <c r="D61" s="229"/>
      <c r="E61" s="229"/>
      <c r="F61" s="229"/>
      <c r="G61" s="229"/>
      <c r="H61" s="229"/>
      <c r="I61" s="229"/>
      <c r="J61" s="229"/>
      <c r="K61" s="229"/>
      <c r="L61" s="229"/>
      <c r="M61" s="229"/>
      <c r="N61" s="229"/>
      <c r="O61" s="229"/>
      <c r="P61" s="229"/>
      <c r="Q61" s="229"/>
      <c r="R61" s="231"/>
    </row>
    <row r="62" spans="1:18" x14ac:dyDescent="0.15">
      <c r="A62" s="229"/>
      <c r="B62" s="229"/>
      <c r="C62" s="229"/>
      <c r="D62" s="229"/>
      <c r="E62" s="229"/>
      <c r="F62" s="229"/>
      <c r="G62" s="229"/>
      <c r="H62" s="229"/>
      <c r="I62" s="229"/>
      <c r="J62" s="229"/>
      <c r="K62" s="229"/>
      <c r="L62" s="229"/>
      <c r="M62" s="229"/>
      <c r="N62" s="229"/>
      <c r="O62" s="229"/>
      <c r="P62" s="229"/>
      <c r="Q62" s="229"/>
      <c r="R62" s="231"/>
    </row>
    <row r="63" spans="1:18" x14ac:dyDescent="0.15">
      <c r="A63" s="229"/>
      <c r="B63" s="229"/>
      <c r="C63" s="229"/>
      <c r="D63" s="229"/>
      <c r="E63" s="229"/>
      <c r="F63" s="229"/>
      <c r="G63" s="229"/>
      <c r="H63" s="229"/>
      <c r="I63" s="229"/>
      <c r="J63" s="229"/>
      <c r="K63" s="229"/>
      <c r="L63" s="229"/>
      <c r="M63" s="229"/>
      <c r="N63" s="229"/>
      <c r="O63" s="229"/>
      <c r="P63" s="229"/>
      <c r="Q63" s="229"/>
      <c r="R63" s="231"/>
    </row>
    <row r="64" spans="1:18" x14ac:dyDescent="0.15">
      <c r="A64" s="229"/>
      <c r="B64" s="229"/>
      <c r="C64" s="229"/>
      <c r="D64" s="229"/>
      <c r="E64" s="229"/>
      <c r="F64" s="229"/>
      <c r="G64" s="229"/>
      <c r="H64" s="229"/>
      <c r="I64" s="229"/>
      <c r="J64" s="229"/>
      <c r="K64" s="229"/>
      <c r="L64" s="229"/>
      <c r="M64" s="229"/>
      <c r="N64" s="229"/>
      <c r="O64" s="229"/>
      <c r="P64" s="229"/>
      <c r="Q64" s="229"/>
      <c r="R64" s="231"/>
    </row>
    <row r="65" spans="1:18" x14ac:dyDescent="0.15">
      <c r="A65" s="229"/>
      <c r="B65" s="229"/>
      <c r="C65" s="229"/>
      <c r="D65" s="229"/>
      <c r="E65" s="229"/>
      <c r="F65" s="229"/>
      <c r="G65" s="229"/>
      <c r="H65" s="229"/>
      <c r="I65" s="229"/>
      <c r="J65" s="229"/>
      <c r="K65" s="229"/>
      <c r="L65" s="229"/>
      <c r="M65" s="229"/>
      <c r="N65" s="229"/>
      <c r="O65" s="229"/>
      <c r="P65" s="229"/>
      <c r="Q65" s="229"/>
      <c r="R65" s="231"/>
    </row>
  </sheetData>
  <mergeCells count="2">
    <mergeCell ref="A1:C1"/>
    <mergeCell ref="A2:C2"/>
  </mergeCells>
  <phoneticPr fontId="1" type="noConversion"/>
  <dataValidations count="5">
    <dataValidation type="list" allowBlank="1" showInputMessage="1" showErrorMessage="1" sqref="P37:P38 N4:N47 O27:O36 O25 O23 O39:O40">
      <formula1>版本名称</formula1>
    </dataValidation>
    <dataValidation type="list" allowBlank="1" showInputMessage="1" showErrorMessage="1" sqref="H4:H32 H34:H40">
      <formula1>"是,否"</formula1>
    </dataValidation>
    <dataValidation type="list" allowBlank="1" showInputMessage="1" showErrorMessage="1" sqref="H33">
      <formula1>"已审核,已排期,已上线"</formula1>
    </dataValidation>
    <dataValidation type="list" allowBlank="1" showInputMessage="1" showErrorMessage="1" sqref="J4:J40 J42:J47">
      <formula1>"高,中,低"</formula1>
    </dataValidation>
    <dataValidation type="list" allowBlank="1" showInputMessage="1" showErrorMessage="1" sqref="I4:I65">
      <formula1>"待分析,待排期,已挂起,已排期,已上线,已退回,无须排期,转派他组"</formula1>
    </dataValidation>
  </dataValidations>
  <pageMargins left="0.75" right="0.75" top="1" bottom="1" header="0.5" footer="0.5"/>
  <pageSetup paperSize="9" orientation="portrait" horizontalDpi="300" verticalDpi="300"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R85"/>
  <sheetViews>
    <sheetView topLeftCell="D3" workbookViewId="0">
      <selection activeCell="O11" sqref="O11"/>
    </sheetView>
  </sheetViews>
  <sheetFormatPr defaultRowHeight="12.75" x14ac:dyDescent="0.2"/>
  <cols>
    <col min="1" max="1" width="16.7109375" customWidth="1"/>
    <col min="2" max="2" width="13.7109375" customWidth="1"/>
    <col min="3" max="3" width="41.28515625" customWidth="1"/>
    <col min="4" max="4" width="11.140625" customWidth="1"/>
    <col min="5" max="6" width="10.5703125" customWidth="1"/>
    <col min="7" max="7" width="14" customWidth="1"/>
    <col min="8" max="8" width="6.140625" customWidth="1"/>
    <col min="9" max="9" width="5.85546875" customWidth="1"/>
    <col min="10" max="10" width="18.85546875" customWidth="1"/>
    <col min="11" max="11" width="14.28515625" bestFit="1" customWidth="1"/>
    <col min="12" max="12" width="11.5703125" customWidth="1"/>
    <col min="13" max="13" width="17.42578125" customWidth="1"/>
    <col min="14" max="14" width="11" customWidth="1"/>
    <col min="15" max="15" width="11.28515625" customWidth="1"/>
    <col min="16" max="16" width="32.5703125" customWidth="1"/>
    <col min="17" max="17" width="11" customWidth="1"/>
    <col min="18" max="18" width="15" customWidth="1"/>
  </cols>
  <sheetData>
    <row r="1" spans="1:18" ht="110.25" hidden="1" customHeight="1" x14ac:dyDescent="0.2">
      <c r="A1" s="262" t="s">
        <v>40</v>
      </c>
      <c r="B1" s="262"/>
      <c r="C1" s="262"/>
      <c r="D1" s="33"/>
    </row>
    <row r="2" spans="1:18" ht="24" hidden="1" customHeight="1" x14ac:dyDescent="0.2">
      <c r="A2" s="32" t="s">
        <v>50</v>
      </c>
      <c r="B2" s="30"/>
      <c r="L2" s="10"/>
      <c r="O2" s="31"/>
    </row>
    <row r="3" spans="1:18" ht="14.25" customHeight="1" x14ac:dyDescent="0.2">
      <c r="A3" s="263" t="s">
        <v>55</v>
      </c>
      <c r="B3" s="263"/>
      <c r="C3" s="263"/>
      <c r="D3" s="34"/>
    </row>
    <row r="4" spans="1:18" s="10" customFormat="1" ht="24.75" x14ac:dyDescent="0.2">
      <c r="A4" s="17" t="s">
        <v>51</v>
      </c>
      <c r="B4" s="17" t="s">
        <v>52</v>
      </c>
      <c r="C4" s="17" t="s">
        <v>54</v>
      </c>
      <c r="D4" s="17" t="s">
        <v>113</v>
      </c>
      <c r="E4" s="17" t="s">
        <v>114</v>
      </c>
      <c r="F4" s="56" t="s">
        <v>99</v>
      </c>
      <c r="G4" s="17" t="s">
        <v>115</v>
      </c>
      <c r="H4" s="17" t="s">
        <v>116</v>
      </c>
      <c r="I4" s="17" t="s">
        <v>117</v>
      </c>
      <c r="J4" s="17" t="s">
        <v>118</v>
      </c>
      <c r="K4" s="17" t="s">
        <v>107</v>
      </c>
      <c r="L4" s="17" t="s">
        <v>108</v>
      </c>
      <c r="M4" s="17" t="s">
        <v>109</v>
      </c>
      <c r="N4" s="17" t="s">
        <v>110</v>
      </c>
      <c r="O4" s="17" t="s">
        <v>119</v>
      </c>
      <c r="P4" s="17" t="s">
        <v>120</v>
      </c>
      <c r="Q4" s="47"/>
      <c r="R4" s="46"/>
    </row>
    <row r="5" spans="1:18" x14ac:dyDescent="0.2">
      <c r="A5" s="21" t="s">
        <v>245</v>
      </c>
      <c r="B5" s="26">
        <v>43217</v>
      </c>
      <c r="C5" s="111" t="s">
        <v>243</v>
      </c>
      <c r="D5" s="21"/>
      <c r="E5" s="21" t="s">
        <v>319</v>
      </c>
      <c r="F5" s="21" t="s">
        <v>320</v>
      </c>
      <c r="G5" s="54"/>
      <c r="H5" s="22"/>
      <c r="I5" s="48"/>
      <c r="J5" s="22" t="s">
        <v>321</v>
      </c>
      <c r="K5" s="22"/>
      <c r="L5" s="9"/>
      <c r="M5" s="9" t="s">
        <v>241</v>
      </c>
      <c r="N5" s="112" t="s">
        <v>242</v>
      </c>
      <c r="O5" s="22"/>
      <c r="P5" s="22"/>
      <c r="Q5" s="45"/>
      <c r="R5" s="23"/>
    </row>
    <row r="6" spans="1:18" x14ac:dyDescent="0.2">
      <c r="A6" s="21" t="s">
        <v>245</v>
      </c>
      <c r="B6" s="26">
        <v>43217</v>
      </c>
      <c r="C6" s="111" t="s">
        <v>244</v>
      </c>
      <c r="D6" s="21"/>
      <c r="E6" s="165" t="s">
        <v>319</v>
      </c>
      <c r="F6" s="21" t="s">
        <v>320</v>
      </c>
      <c r="G6" s="26"/>
      <c r="H6" s="9"/>
      <c r="I6" s="48"/>
      <c r="J6" s="166" t="s">
        <v>321</v>
      </c>
      <c r="K6" s="22"/>
      <c r="L6" s="9"/>
      <c r="M6" s="164" t="s">
        <v>241</v>
      </c>
      <c r="N6" s="112" t="s">
        <v>242</v>
      </c>
      <c r="O6" s="22"/>
      <c r="P6" s="22"/>
      <c r="Q6" s="45"/>
      <c r="R6" s="23"/>
    </row>
    <row r="7" spans="1:18" s="163" customFormat="1" x14ac:dyDescent="0.2">
      <c r="A7" s="165" t="s">
        <v>245</v>
      </c>
      <c r="B7" s="168">
        <v>43392</v>
      </c>
      <c r="C7" s="28" t="s">
        <v>326</v>
      </c>
      <c r="D7" s="165"/>
      <c r="E7" s="165" t="s">
        <v>327</v>
      </c>
      <c r="F7" s="165" t="s">
        <v>328</v>
      </c>
      <c r="G7" s="172"/>
      <c r="H7" s="166"/>
      <c r="I7" s="170"/>
      <c r="J7" s="166"/>
      <c r="K7" s="166"/>
      <c r="L7" s="164"/>
      <c r="M7" s="164"/>
      <c r="N7" s="112"/>
      <c r="O7" s="166"/>
      <c r="P7" s="166"/>
      <c r="Q7" s="169"/>
      <c r="R7" s="167"/>
    </row>
    <row r="8" spans="1:18" s="163" customFormat="1" x14ac:dyDescent="0.2">
      <c r="A8" s="165"/>
      <c r="B8" s="168"/>
      <c r="C8" s="111"/>
      <c r="D8" s="165"/>
      <c r="E8" s="165"/>
      <c r="F8" s="165"/>
      <c r="G8" s="168"/>
      <c r="H8" s="164"/>
      <c r="I8" s="170"/>
      <c r="J8" s="166"/>
      <c r="K8" s="166"/>
      <c r="L8" s="164"/>
      <c r="M8" s="164"/>
      <c r="N8" s="112"/>
      <c r="O8" s="166"/>
      <c r="P8" s="166"/>
      <c r="Q8" s="169"/>
      <c r="R8" s="167"/>
    </row>
    <row r="9" spans="1:18" x14ac:dyDescent="0.2">
      <c r="A9" s="21"/>
      <c r="B9" s="26"/>
      <c r="C9" s="21"/>
      <c r="D9" s="21"/>
      <c r="E9" s="21"/>
      <c r="F9" s="21"/>
      <c r="G9" s="26"/>
      <c r="H9" s="9"/>
      <c r="I9" s="48"/>
      <c r="J9" s="22"/>
      <c r="K9" s="22"/>
      <c r="L9" s="9"/>
      <c r="M9" s="9"/>
      <c r="N9" s="9"/>
      <c r="O9" s="9"/>
      <c r="P9" s="22"/>
      <c r="Q9" s="45"/>
      <c r="R9" s="23"/>
    </row>
    <row r="10" spans="1:18" x14ac:dyDescent="0.2">
      <c r="A10" s="21"/>
      <c r="B10" s="26"/>
      <c r="C10" s="21"/>
      <c r="D10" s="21"/>
      <c r="E10" s="21"/>
      <c r="F10" s="21"/>
      <c r="G10" s="26"/>
      <c r="H10" s="9"/>
      <c r="I10" s="48"/>
      <c r="J10" s="22"/>
      <c r="K10" s="22"/>
      <c r="L10" s="9"/>
      <c r="M10" s="9"/>
      <c r="N10" s="9"/>
      <c r="O10" s="9"/>
      <c r="P10" s="9"/>
      <c r="Q10" s="45"/>
      <c r="R10" s="23"/>
    </row>
    <row r="11" spans="1:18" x14ac:dyDescent="0.2">
      <c r="A11" s="21"/>
      <c r="B11" s="26"/>
      <c r="C11" s="21"/>
      <c r="D11" s="21"/>
      <c r="E11" s="21"/>
      <c r="F11" s="21"/>
      <c r="G11" s="26"/>
      <c r="H11" s="9"/>
      <c r="I11" s="48"/>
      <c r="J11" s="22"/>
      <c r="K11" s="22"/>
      <c r="L11" s="9"/>
      <c r="M11" s="9"/>
      <c r="N11" s="9"/>
      <c r="O11" s="22"/>
      <c r="P11" s="22"/>
      <c r="Q11" s="45"/>
      <c r="R11" s="23"/>
    </row>
    <row r="12" spans="1:18" ht="13.5" customHeight="1" x14ac:dyDescent="0.2">
      <c r="A12" s="21"/>
      <c r="B12" s="26"/>
      <c r="C12" s="21"/>
      <c r="D12" s="21"/>
      <c r="E12" s="21"/>
      <c r="F12" s="21"/>
      <c r="G12" s="26"/>
      <c r="H12" s="9"/>
      <c r="I12" s="48"/>
      <c r="J12" s="22"/>
      <c r="K12" s="22"/>
      <c r="L12" s="9"/>
      <c r="M12" s="9"/>
      <c r="N12" s="9"/>
      <c r="O12" s="9"/>
      <c r="P12" s="9"/>
      <c r="Q12" s="45"/>
      <c r="R12" s="23"/>
    </row>
    <row r="13" spans="1:18" ht="13.5" customHeight="1" x14ac:dyDescent="0.2">
      <c r="A13" s="21"/>
      <c r="B13" s="26"/>
      <c r="C13" s="21"/>
      <c r="D13" s="21"/>
      <c r="E13" s="21"/>
      <c r="F13" s="21"/>
      <c r="G13" s="26"/>
      <c r="H13" s="9"/>
      <c r="I13" s="48"/>
      <c r="J13" s="22"/>
      <c r="K13" s="22"/>
      <c r="L13" s="9"/>
      <c r="M13" s="9"/>
      <c r="N13" s="9"/>
      <c r="O13" s="9"/>
      <c r="P13" s="22"/>
      <c r="Q13" s="45"/>
      <c r="R13" s="23"/>
    </row>
    <row r="14" spans="1:18" x14ac:dyDescent="0.2">
      <c r="A14" s="21"/>
      <c r="B14" s="26"/>
      <c r="C14" s="21"/>
      <c r="D14" s="21"/>
      <c r="E14" s="21"/>
      <c r="F14" s="21"/>
      <c r="G14" s="26"/>
      <c r="H14" s="9"/>
      <c r="I14" s="48"/>
      <c r="J14" s="22"/>
      <c r="K14" s="22"/>
      <c r="L14" s="9"/>
      <c r="M14" s="9"/>
      <c r="N14" s="9"/>
      <c r="O14" s="9"/>
      <c r="P14" s="22"/>
      <c r="Q14" s="45"/>
      <c r="R14" s="23"/>
    </row>
    <row r="15" spans="1:18" x14ac:dyDescent="0.2">
      <c r="A15" s="21"/>
      <c r="B15" s="26"/>
      <c r="C15" s="21"/>
      <c r="D15" s="21"/>
      <c r="E15" s="21"/>
      <c r="F15" s="21"/>
      <c r="G15" s="26"/>
      <c r="H15" s="9"/>
      <c r="I15" s="48"/>
      <c r="J15" s="22"/>
      <c r="K15" s="22"/>
      <c r="L15" s="9"/>
      <c r="M15" s="9"/>
      <c r="N15" s="9"/>
      <c r="O15" s="9"/>
      <c r="P15" s="22"/>
      <c r="Q15" s="45"/>
      <c r="R15" s="23"/>
    </row>
    <row r="16" spans="1:18" x14ac:dyDescent="0.2">
      <c r="A16" s="21"/>
      <c r="B16" s="26"/>
      <c r="C16" s="21"/>
      <c r="D16" s="21"/>
      <c r="E16" s="21"/>
      <c r="F16" s="21"/>
      <c r="G16" s="26"/>
      <c r="H16" s="9"/>
      <c r="I16" s="48"/>
      <c r="J16" s="22"/>
      <c r="K16" s="22"/>
      <c r="L16" s="9"/>
      <c r="M16" s="9"/>
      <c r="N16" s="9"/>
      <c r="O16" s="9"/>
      <c r="P16" s="9"/>
      <c r="Q16" s="45"/>
      <c r="R16" s="23"/>
    </row>
    <row r="17" spans="1:18" ht="13.5" customHeight="1" x14ac:dyDescent="0.2">
      <c r="A17" s="21"/>
      <c r="B17" s="26"/>
      <c r="C17" s="21"/>
      <c r="D17" s="21"/>
      <c r="E17" s="21"/>
      <c r="F17" s="21"/>
      <c r="G17" s="26"/>
      <c r="H17" s="9"/>
      <c r="I17" s="48"/>
      <c r="J17" s="22"/>
      <c r="K17" s="22"/>
      <c r="L17" s="9"/>
      <c r="M17" s="9"/>
      <c r="N17" s="9"/>
      <c r="O17" s="9"/>
      <c r="P17" s="22"/>
      <c r="Q17" s="45"/>
      <c r="R17" s="23"/>
    </row>
    <row r="18" spans="1:18" ht="13.5" customHeight="1" x14ac:dyDescent="0.2">
      <c r="A18" s="21"/>
      <c r="B18" s="26"/>
      <c r="C18" s="21"/>
      <c r="D18" s="21"/>
      <c r="E18" s="21"/>
      <c r="F18" s="21"/>
      <c r="G18" s="26"/>
      <c r="H18" s="9"/>
      <c r="I18" s="48"/>
      <c r="J18" s="22"/>
      <c r="K18" s="22"/>
      <c r="L18" s="9"/>
      <c r="M18" s="9"/>
      <c r="N18" s="9"/>
      <c r="O18" s="9"/>
      <c r="P18" s="22"/>
      <c r="Q18" s="45"/>
      <c r="R18" s="23"/>
    </row>
    <row r="19" spans="1:18" ht="13.5" customHeight="1" x14ac:dyDescent="0.2">
      <c r="A19" s="21"/>
      <c r="B19" s="26"/>
      <c r="C19" s="21"/>
      <c r="D19" s="21"/>
      <c r="E19" s="21"/>
      <c r="F19" s="21"/>
      <c r="G19" s="26"/>
      <c r="H19" s="9"/>
      <c r="I19" s="48"/>
      <c r="J19" s="22"/>
      <c r="K19" s="22"/>
      <c r="L19" s="9"/>
      <c r="M19" s="9"/>
      <c r="N19" s="9"/>
      <c r="O19" s="9"/>
      <c r="P19" s="22"/>
      <c r="Q19" s="45"/>
      <c r="R19" s="23"/>
    </row>
    <row r="20" spans="1:18" ht="13.5" customHeight="1" x14ac:dyDescent="0.2">
      <c r="A20" s="21"/>
      <c r="B20" s="26"/>
      <c r="C20" s="21"/>
      <c r="D20" s="21"/>
      <c r="E20" s="21"/>
      <c r="F20" s="21"/>
      <c r="G20" s="26"/>
      <c r="H20" s="9"/>
      <c r="I20" s="48"/>
      <c r="J20" s="22"/>
      <c r="K20" s="22"/>
      <c r="L20" s="9"/>
      <c r="M20" s="9"/>
      <c r="N20" s="9"/>
      <c r="O20" s="22"/>
      <c r="P20" s="22"/>
      <c r="Q20" s="45"/>
      <c r="R20" s="23"/>
    </row>
    <row r="21" spans="1:18" ht="13.5" customHeight="1" x14ac:dyDescent="0.2">
      <c r="A21" s="21"/>
      <c r="B21" s="26"/>
      <c r="C21" s="21"/>
      <c r="D21" s="21"/>
      <c r="E21" s="21"/>
      <c r="F21" s="21"/>
      <c r="G21" s="26"/>
      <c r="H21" s="9"/>
      <c r="I21" s="48"/>
      <c r="J21" s="9"/>
      <c r="K21" s="9"/>
      <c r="L21" s="9"/>
      <c r="M21" s="9"/>
      <c r="N21" s="9"/>
      <c r="O21" s="9"/>
      <c r="P21" s="9"/>
      <c r="Q21" s="45"/>
      <c r="R21" s="23"/>
    </row>
    <row r="22" spans="1:18" ht="13.5" customHeight="1" x14ac:dyDescent="0.2">
      <c r="A22" s="21"/>
      <c r="B22" s="26"/>
      <c r="C22" s="21"/>
      <c r="D22" s="21"/>
      <c r="E22" s="21"/>
      <c r="F22" s="21"/>
      <c r="G22" s="26"/>
      <c r="H22" s="9"/>
      <c r="I22" s="48"/>
      <c r="J22" s="9"/>
      <c r="K22" s="9"/>
      <c r="L22" s="9"/>
      <c r="M22" s="9"/>
      <c r="N22" s="9"/>
      <c r="O22" s="9"/>
      <c r="P22" s="9"/>
      <c r="Q22" s="23"/>
      <c r="R22" s="23"/>
    </row>
    <row r="23" spans="1:18" ht="13.5" customHeight="1" x14ac:dyDescent="0.2">
      <c r="A23" s="21"/>
      <c r="B23" s="26"/>
      <c r="C23" s="21"/>
      <c r="D23" s="21"/>
      <c r="E23" s="21"/>
      <c r="F23" s="21"/>
      <c r="G23" s="26"/>
      <c r="H23" s="9"/>
      <c r="I23" s="48"/>
      <c r="J23" s="9"/>
      <c r="K23" s="9"/>
      <c r="L23" s="9"/>
      <c r="M23" s="9"/>
      <c r="N23" s="9"/>
      <c r="O23" s="9"/>
      <c r="P23" s="9"/>
      <c r="Q23" s="23"/>
      <c r="R23" s="23"/>
    </row>
    <row r="24" spans="1:18" ht="13.5" customHeight="1" x14ac:dyDescent="0.2">
      <c r="A24" s="21"/>
      <c r="B24" s="26"/>
      <c r="C24" s="21"/>
      <c r="D24" s="21"/>
      <c r="E24" s="9"/>
      <c r="F24" s="9"/>
      <c r="G24" s="25"/>
      <c r="H24" s="22"/>
      <c r="I24" s="48"/>
      <c r="J24" s="22"/>
      <c r="K24" s="22"/>
      <c r="L24" s="9"/>
      <c r="M24" s="9"/>
      <c r="N24" s="9"/>
      <c r="O24" s="22"/>
      <c r="P24" s="9"/>
      <c r="Q24" s="23"/>
      <c r="R24" s="23"/>
    </row>
    <row r="25" spans="1:18" ht="13.5" customHeight="1" x14ac:dyDescent="0.2">
      <c r="A25" s="21"/>
      <c r="B25" s="26"/>
      <c r="C25" s="21"/>
      <c r="D25" s="21"/>
      <c r="E25" s="9"/>
      <c r="F25" s="9"/>
      <c r="G25" s="25"/>
      <c r="H25" s="22"/>
      <c r="I25" s="48"/>
      <c r="J25" s="22"/>
      <c r="K25" s="22"/>
      <c r="L25" s="9"/>
      <c r="M25" s="9"/>
      <c r="N25" s="9"/>
      <c r="O25" s="22"/>
      <c r="P25" s="9"/>
      <c r="Q25" s="23"/>
      <c r="R25" s="23"/>
    </row>
    <row r="26" spans="1:18" ht="13.5" customHeight="1" x14ac:dyDescent="0.2">
      <c r="A26" s="21"/>
      <c r="B26" s="26"/>
      <c r="C26" s="21"/>
      <c r="D26" s="21"/>
      <c r="E26" s="9"/>
      <c r="F26" s="9"/>
      <c r="G26" s="25"/>
      <c r="H26" s="22"/>
      <c r="I26" s="22"/>
      <c r="J26" s="22"/>
      <c r="K26" s="22"/>
      <c r="L26" s="9"/>
      <c r="M26" s="9"/>
      <c r="N26" s="9"/>
      <c r="O26" s="9"/>
      <c r="P26" s="9"/>
      <c r="Q26" s="23"/>
      <c r="R26" s="23"/>
    </row>
    <row r="27" spans="1:18" ht="13.5" customHeight="1" x14ac:dyDescent="0.2">
      <c r="A27" s="21"/>
      <c r="B27" s="26"/>
      <c r="C27" s="21"/>
      <c r="D27" s="21"/>
      <c r="E27" s="9"/>
      <c r="F27" s="9"/>
      <c r="G27" s="25"/>
      <c r="H27" s="22"/>
      <c r="I27" s="22"/>
      <c r="J27" s="22"/>
      <c r="K27" s="22"/>
      <c r="L27" s="9"/>
      <c r="M27" s="9"/>
      <c r="N27" s="9"/>
      <c r="O27" s="9"/>
      <c r="P27" s="9"/>
      <c r="Q27" s="23"/>
      <c r="R27" s="23"/>
    </row>
    <row r="28" spans="1:18" x14ac:dyDescent="0.2">
      <c r="A28" s="21"/>
      <c r="B28" s="26"/>
      <c r="C28" s="21"/>
      <c r="D28" s="21"/>
      <c r="E28" s="9"/>
      <c r="F28" s="9"/>
      <c r="G28" s="25"/>
      <c r="H28" s="22"/>
      <c r="I28" s="22"/>
      <c r="J28" s="22"/>
      <c r="K28" s="22"/>
      <c r="L28" s="9"/>
      <c r="M28" s="9"/>
      <c r="N28" s="9"/>
      <c r="O28" s="9"/>
      <c r="P28" s="9"/>
      <c r="Q28" s="23"/>
      <c r="R28" s="23"/>
    </row>
    <row r="29" spans="1:18" x14ac:dyDescent="0.2">
      <c r="A29" s="21"/>
      <c r="B29" s="26"/>
      <c r="C29" s="21"/>
      <c r="D29" s="21"/>
      <c r="E29" s="9"/>
      <c r="F29" s="9"/>
      <c r="G29" s="25"/>
      <c r="H29" s="22"/>
      <c r="I29" s="22"/>
      <c r="J29" s="22"/>
      <c r="K29" s="22"/>
      <c r="L29" s="9"/>
      <c r="M29" s="9"/>
      <c r="N29" s="9"/>
      <c r="O29" s="9"/>
      <c r="P29" s="9"/>
      <c r="Q29" s="23"/>
      <c r="R29" s="23"/>
    </row>
    <row r="30" spans="1:18" x14ac:dyDescent="0.2">
      <c r="A30" s="21"/>
      <c r="B30" s="26"/>
      <c r="C30" s="21"/>
      <c r="D30" s="21"/>
      <c r="E30" s="9"/>
      <c r="F30" s="9"/>
      <c r="G30" s="25"/>
      <c r="H30" s="22"/>
      <c r="I30" s="22"/>
      <c r="J30" s="22"/>
      <c r="K30" s="22"/>
      <c r="L30" s="9"/>
      <c r="M30" s="9"/>
      <c r="N30" s="9"/>
      <c r="O30" s="22"/>
      <c r="P30" s="9"/>
      <c r="Q30" s="23"/>
      <c r="R30" s="23"/>
    </row>
    <row r="31" spans="1:18" x14ac:dyDescent="0.2">
      <c r="A31" s="21"/>
      <c r="B31" s="26"/>
      <c r="C31" s="21"/>
      <c r="D31" s="9"/>
      <c r="E31" s="9"/>
      <c r="F31" s="9"/>
      <c r="G31" s="9"/>
      <c r="H31" s="9"/>
      <c r="I31" s="9"/>
      <c r="J31" s="9"/>
      <c r="K31" s="9"/>
      <c r="L31" s="9"/>
      <c r="M31" s="9"/>
      <c r="N31" s="9"/>
      <c r="O31" s="9"/>
      <c r="P31" s="9"/>
      <c r="Q31" s="23"/>
      <c r="R31" s="23"/>
    </row>
    <row r="32" spans="1:18" x14ac:dyDescent="0.2">
      <c r="A32" s="21"/>
      <c r="B32" s="26"/>
      <c r="C32" s="21"/>
      <c r="D32" s="9"/>
      <c r="E32" s="9"/>
      <c r="F32" s="9"/>
      <c r="G32" s="9"/>
      <c r="H32" s="9"/>
      <c r="I32" s="9"/>
      <c r="J32" s="9"/>
      <c r="K32" s="9"/>
      <c r="L32" s="9"/>
      <c r="M32" s="9"/>
      <c r="N32" s="9"/>
      <c r="O32" s="9"/>
      <c r="P32" s="9"/>
      <c r="Q32" s="23"/>
      <c r="R32" s="23"/>
    </row>
    <row r="33" spans="1:18" x14ac:dyDescent="0.2">
      <c r="A33" s="21"/>
      <c r="B33" s="26"/>
      <c r="C33" s="21"/>
      <c r="D33" s="9"/>
      <c r="E33" s="9"/>
      <c r="F33" s="9"/>
      <c r="G33" s="9"/>
      <c r="H33" s="9"/>
      <c r="I33" s="9"/>
      <c r="J33" s="9"/>
      <c r="K33" s="9"/>
      <c r="L33" s="9"/>
      <c r="M33" s="9"/>
      <c r="N33" s="9"/>
      <c r="O33" s="9"/>
      <c r="P33" s="9"/>
      <c r="Q33" s="23"/>
      <c r="R33" s="23"/>
    </row>
    <row r="34" spans="1:18" x14ac:dyDescent="0.2">
      <c r="A34" s="21"/>
      <c r="B34" s="26"/>
      <c r="C34" s="21"/>
      <c r="D34" s="9"/>
      <c r="E34" s="9"/>
      <c r="F34" s="9"/>
      <c r="G34" s="9"/>
      <c r="H34" s="9"/>
      <c r="I34" s="9"/>
      <c r="J34" s="9"/>
      <c r="K34" s="9"/>
      <c r="L34" s="9"/>
      <c r="M34" s="9"/>
      <c r="N34" s="9"/>
      <c r="O34" s="9"/>
      <c r="P34" s="9"/>
      <c r="Q34" s="23"/>
      <c r="R34" s="23"/>
    </row>
    <row r="35" spans="1:18" x14ac:dyDescent="0.2">
      <c r="A35" s="21"/>
      <c r="B35" s="26"/>
      <c r="C35" s="21"/>
      <c r="D35" s="9"/>
      <c r="E35" s="9"/>
      <c r="F35" s="9"/>
      <c r="G35" s="9"/>
      <c r="H35" s="9"/>
      <c r="I35" s="9"/>
      <c r="J35" s="9"/>
      <c r="K35" s="9"/>
      <c r="L35" s="9"/>
      <c r="M35" s="9"/>
      <c r="N35" s="9"/>
      <c r="O35" s="9"/>
      <c r="P35" s="9"/>
      <c r="Q35" s="23"/>
      <c r="R35" s="23"/>
    </row>
    <row r="36" spans="1:18" x14ac:dyDescent="0.2">
      <c r="A36" s="21"/>
      <c r="B36" s="26"/>
      <c r="C36" s="21"/>
      <c r="D36" s="9"/>
      <c r="E36" s="9"/>
      <c r="F36" s="9"/>
      <c r="G36" s="9"/>
      <c r="H36" s="9"/>
      <c r="I36" s="9"/>
      <c r="J36" s="9"/>
      <c r="K36" s="9"/>
      <c r="L36" s="9"/>
      <c r="M36" s="9"/>
      <c r="N36" s="9"/>
      <c r="O36" s="9"/>
      <c r="P36" s="9"/>
      <c r="Q36" s="23"/>
      <c r="R36" s="23"/>
    </row>
    <row r="37" spans="1:18" x14ac:dyDescent="0.2">
      <c r="A37" s="21"/>
      <c r="B37" s="26"/>
      <c r="C37" s="21"/>
      <c r="D37" s="9"/>
      <c r="E37" s="9"/>
      <c r="F37" s="9"/>
      <c r="G37" s="9"/>
      <c r="H37" s="9"/>
      <c r="I37" s="9"/>
      <c r="J37" s="9"/>
      <c r="K37" s="9"/>
      <c r="L37" s="9"/>
      <c r="M37" s="9"/>
      <c r="N37" s="9"/>
      <c r="O37" s="9"/>
      <c r="P37" s="9"/>
      <c r="Q37" s="23"/>
      <c r="R37" s="23"/>
    </row>
    <row r="38" spans="1:18" x14ac:dyDescent="0.2">
      <c r="A38" s="21"/>
      <c r="B38" s="26"/>
      <c r="C38" s="21"/>
      <c r="D38" s="9"/>
      <c r="E38" s="9"/>
      <c r="F38" s="9"/>
      <c r="G38" s="9"/>
      <c r="H38" s="9"/>
      <c r="I38" s="9"/>
      <c r="J38" s="9"/>
      <c r="K38" s="9"/>
      <c r="L38" s="9"/>
      <c r="M38" s="9"/>
      <c r="N38" s="9"/>
      <c r="O38" s="9"/>
      <c r="P38" s="9"/>
      <c r="Q38" s="23"/>
      <c r="R38" s="23"/>
    </row>
    <row r="39" spans="1:18" x14ac:dyDescent="0.2">
      <c r="A39" s="21"/>
      <c r="B39" s="26"/>
      <c r="C39" s="21"/>
      <c r="D39" s="9"/>
      <c r="E39" s="9"/>
      <c r="F39" s="9"/>
      <c r="G39" s="9"/>
      <c r="H39" s="9"/>
      <c r="I39" s="9"/>
      <c r="J39" s="9"/>
      <c r="K39" s="9"/>
      <c r="L39" s="9"/>
      <c r="M39" s="9"/>
      <c r="N39" s="9"/>
      <c r="O39" s="9"/>
      <c r="P39" s="9"/>
      <c r="Q39" s="23"/>
      <c r="R39" s="23"/>
    </row>
    <row r="40" spans="1:18" x14ac:dyDescent="0.2">
      <c r="A40" s="9"/>
      <c r="B40" s="9"/>
      <c r="C40" s="9"/>
      <c r="D40" s="9"/>
      <c r="E40" s="9"/>
      <c r="F40" s="9"/>
      <c r="G40" s="9"/>
      <c r="H40" s="9"/>
      <c r="I40" s="9"/>
      <c r="J40" s="9"/>
      <c r="K40" s="9"/>
      <c r="L40" s="9"/>
      <c r="M40" s="9"/>
      <c r="N40" s="9"/>
      <c r="O40" s="9"/>
      <c r="P40" s="9"/>
    </row>
    <row r="41" spans="1:18" x14ac:dyDescent="0.2">
      <c r="A41" s="9"/>
      <c r="B41" s="9"/>
      <c r="C41" s="9"/>
      <c r="D41" s="9"/>
      <c r="E41" s="9"/>
      <c r="F41" s="9"/>
      <c r="G41" s="9"/>
      <c r="H41" s="9"/>
      <c r="I41" s="9"/>
      <c r="J41" s="9"/>
      <c r="K41" s="9"/>
      <c r="L41" s="9"/>
      <c r="M41" s="9"/>
      <c r="N41" s="9"/>
      <c r="O41" s="9"/>
      <c r="P41" s="9"/>
    </row>
    <row r="42" spans="1:18" x14ac:dyDescent="0.2">
      <c r="A42" s="9"/>
      <c r="B42" s="9"/>
      <c r="C42" s="9"/>
      <c r="D42" s="9"/>
      <c r="E42" s="9"/>
      <c r="F42" s="9"/>
      <c r="G42" s="9"/>
      <c r="H42" s="9"/>
      <c r="I42" s="9"/>
      <c r="J42" s="9"/>
      <c r="K42" s="9"/>
      <c r="L42" s="9"/>
      <c r="M42" s="9"/>
      <c r="N42" s="9"/>
      <c r="O42" s="9"/>
      <c r="P42" s="9"/>
    </row>
    <row r="43" spans="1:18" x14ac:dyDescent="0.2">
      <c r="A43" s="9"/>
      <c r="B43" s="9"/>
      <c r="C43" s="9"/>
      <c r="D43" s="9"/>
      <c r="E43" s="9"/>
      <c r="F43" s="9"/>
      <c r="G43" s="9"/>
      <c r="H43" s="9"/>
      <c r="I43" s="9"/>
      <c r="J43" s="9"/>
      <c r="K43" s="9"/>
      <c r="L43" s="9"/>
      <c r="M43" s="9"/>
      <c r="N43" s="9"/>
      <c r="O43" s="9"/>
      <c r="P43" s="9"/>
    </row>
    <row r="44" spans="1:18" x14ac:dyDescent="0.2">
      <c r="A44" s="9"/>
      <c r="B44" s="9"/>
      <c r="C44" s="9"/>
      <c r="D44" s="9"/>
      <c r="E44" s="9"/>
      <c r="F44" s="9"/>
      <c r="G44" s="9"/>
      <c r="H44" s="9"/>
      <c r="I44" s="9"/>
      <c r="J44" s="9"/>
      <c r="K44" s="9"/>
      <c r="L44" s="9"/>
      <c r="M44" s="9"/>
      <c r="N44" s="9"/>
      <c r="O44" s="9"/>
      <c r="P44" s="9"/>
    </row>
    <row r="45" spans="1:18" x14ac:dyDescent="0.2">
      <c r="A45" s="9"/>
      <c r="B45" s="9"/>
      <c r="C45" s="9"/>
      <c r="D45" s="9"/>
      <c r="E45" s="9"/>
      <c r="F45" s="9"/>
      <c r="G45" s="9"/>
      <c r="H45" s="9"/>
      <c r="I45" s="9"/>
      <c r="J45" s="9"/>
      <c r="K45" s="9"/>
      <c r="L45" s="9"/>
      <c r="M45" s="9"/>
      <c r="N45" s="9"/>
      <c r="O45" s="9"/>
      <c r="P45" s="9"/>
    </row>
    <row r="46" spans="1:18" x14ac:dyDescent="0.2">
      <c r="A46" s="9"/>
      <c r="B46" s="9"/>
      <c r="C46" s="9"/>
      <c r="D46" s="9"/>
      <c r="E46" s="9"/>
      <c r="F46" s="9"/>
      <c r="G46" s="9"/>
      <c r="H46" s="9"/>
      <c r="I46" s="9"/>
      <c r="J46" s="9"/>
      <c r="K46" s="9"/>
      <c r="L46" s="9"/>
      <c r="M46" s="9"/>
      <c r="N46" s="9"/>
      <c r="O46" s="9"/>
      <c r="P46" s="9"/>
    </row>
    <row r="47" spans="1:18" x14ac:dyDescent="0.2">
      <c r="A47" s="9"/>
      <c r="B47" s="9"/>
      <c r="C47" s="9"/>
      <c r="D47" s="9"/>
      <c r="E47" s="9"/>
      <c r="F47" s="9"/>
      <c r="G47" s="9"/>
      <c r="H47" s="9"/>
      <c r="I47" s="9"/>
      <c r="J47" s="9"/>
      <c r="K47" s="9"/>
      <c r="L47" s="9"/>
      <c r="M47" s="9"/>
      <c r="N47" s="9"/>
      <c r="O47" s="9"/>
      <c r="P47" s="9"/>
    </row>
    <row r="48" spans="1:18" x14ac:dyDescent="0.2">
      <c r="A48" s="9"/>
      <c r="B48" s="9"/>
      <c r="C48" s="9"/>
      <c r="D48" s="9"/>
      <c r="E48" s="9"/>
      <c r="F48" s="9"/>
      <c r="G48" s="9"/>
      <c r="H48" s="9"/>
      <c r="I48" s="9"/>
      <c r="J48" s="9"/>
      <c r="K48" s="9"/>
      <c r="L48" s="9"/>
      <c r="M48" s="9"/>
      <c r="N48" s="9"/>
      <c r="O48" s="9"/>
      <c r="P48" s="9"/>
    </row>
    <row r="49" spans="1:16" x14ac:dyDescent="0.2">
      <c r="A49" s="9"/>
      <c r="B49" s="9"/>
      <c r="C49" s="9"/>
      <c r="D49" s="9"/>
      <c r="E49" s="9"/>
      <c r="F49" s="9"/>
      <c r="G49" s="9"/>
      <c r="H49" s="9"/>
      <c r="I49" s="9"/>
      <c r="J49" s="9"/>
      <c r="K49" s="9"/>
      <c r="L49" s="9"/>
      <c r="M49" s="9"/>
      <c r="N49" s="9"/>
      <c r="O49" s="9"/>
      <c r="P49" s="9"/>
    </row>
    <row r="50" spans="1:16" x14ac:dyDescent="0.2">
      <c r="A50" s="9"/>
      <c r="B50" s="9"/>
      <c r="C50" s="9"/>
      <c r="D50" s="9"/>
      <c r="E50" s="9"/>
      <c r="F50" s="9"/>
      <c r="G50" s="9"/>
      <c r="H50" s="9"/>
      <c r="I50" s="9"/>
      <c r="J50" s="9"/>
      <c r="K50" s="9"/>
      <c r="L50" s="9"/>
      <c r="M50" s="9"/>
      <c r="N50" s="9"/>
      <c r="O50" s="9"/>
      <c r="P50" s="9"/>
    </row>
    <row r="51" spans="1:16" x14ac:dyDescent="0.2">
      <c r="A51" s="9"/>
      <c r="B51" s="9"/>
      <c r="C51" s="9"/>
      <c r="D51" s="9"/>
      <c r="E51" s="9"/>
      <c r="F51" s="9"/>
      <c r="G51" s="9"/>
      <c r="H51" s="9"/>
      <c r="I51" s="9"/>
      <c r="J51" s="9"/>
      <c r="K51" s="9"/>
      <c r="L51" s="9"/>
      <c r="M51" s="9"/>
      <c r="N51" s="9"/>
      <c r="O51" s="9"/>
      <c r="P51" s="9"/>
    </row>
    <row r="52" spans="1:16" x14ac:dyDescent="0.2">
      <c r="A52" s="9"/>
      <c r="B52" s="9"/>
      <c r="C52" s="9"/>
      <c r="D52" s="9"/>
      <c r="E52" s="9"/>
      <c r="F52" s="9"/>
      <c r="G52" s="9"/>
      <c r="H52" s="9"/>
      <c r="I52" s="9"/>
      <c r="J52" s="9"/>
      <c r="K52" s="9"/>
      <c r="L52" s="9"/>
      <c r="M52" s="9"/>
      <c r="N52" s="9"/>
      <c r="O52" s="9"/>
      <c r="P52" s="9"/>
    </row>
    <row r="53" spans="1:16" x14ac:dyDescent="0.2">
      <c r="A53" s="9"/>
      <c r="B53" s="9"/>
      <c r="C53" s="9"/>
      <c r="D53" s="9"/>
      <c r="E53" s="9"/>
      <c r="F53" s="9"/>
      <c r="G53" s="9"/>
      <c r="H53" s="9"/>
      <c r="I53" s="9"/>
      <c r="J53" s="9"/>
      <c r="K53" s="9"/>
      <c r="L53" s="9"/>
      <c r="M53" s="9"/>
      <c r="N53" s="9"/>
      <c r="O53" s="9"/>
      <c r="P53" s="9"/>
    </row>
    <row r="54" spans="1:16" x14ac:dyDescent="0.2">
      <c r="A54" s="9"/>
      <c r="B54" s="9"/>
      <c r="C54" s="9"/>
      <c r="D54" s="9"/>
      <c r="E54" s="9"/>
      <c r="F54" s="9"/>
      <c r="G54" s="9"/>
      <c r="H54" s="9"/>
      <c r="I54" s="9"/>
      <c r="J54" s="9"/>
      <c r="K54" s="9"/>
      <c r="L54" s="9"/>
      <c r="M54" s="9"/>
      <c r="N54" s="9"/>
      <c r="O54" s="9"/>
      <c r="P54" s="9"/>
    </row>
    <row r="55" spans="1:16" x14ac:dyDescent="0.2">
      <c r="A55" s="9"/>
      <c r="B55" s="9"/>
      <c r="C55" s="9"/>
      <c r="D55" s="9"/>
      <c r="E55" s="9"/>
      <c r="F55" s="9"/>
      <c r="G55" s="9"/>
      <c r="H55" s="9"/>
      <c r="I55" s="9"/>
      <c r="J55" s="9"/>
      <c r="K55" s="9"/>
      <c r="L55" s="9"/>
      <c r="M55" s="9"/>
      <c r="N55" s="9"/>
      <c r="O55" s="9"/>
      <c r="P55" s="9"/>
    </row>
    <row r="56" spans="1:16" x14ac:dyDescent="0.2">
      <c r="A56" s="9"/>
      <c r="B56" s="9"/>
      <c r="C56" s="9"/>
      <c r="D56" s="9"/>
      <c r="E56" s="9"/>
      <c r="F56" s="9"/>
      <c r="G56" s="9"/>
      <c r="H56" s="9"/>
      <c r="I56" s="9"/>
      <c r="J56" s="9"/>
      <c r="K56" s="9"/>
      <c r="L56" s="9"/>
      <c r="M56" s="9"/>
      <c r="N56" s="9"/>
      <c r="O56" s="9"/>
      <c r="P56" s="9"/>
    </row>
    <row r="57" spans="1:16" x14ac:dyDescent="0.2">
      <c r="A57" s="9"/>
      <c r="B57" s="9"/>
      <c r="C57" s="9"/>
      <c r="D57" s="9"/>
      <c r="E57" s="9"/>
      <c r="F57" s="9"/>
      <c r="G57" s="9"/>
      <c r="H57" s="9"/>
      <c r="I57" s="9"/>
      <c r="J57" s="9"/>
      <c r="K57" s="9"/>
      <c r="L57" s="9"/>
      <c r="M57" s="9"/>
      <c r="N57" s="9"/>
      <c r="O57" s="9"/>
      <c r="P57" s="9"/>
    </row>
    <row r="58" spans="1:16" x14ac:dyDescent="0.2">
      <c r="A58" s="9"/>
      <c r="B58" s="9"/>
      <c r="C58" s="9"/>
      <c r="D58" s="9"/>
      <c r="E58" s="9"/>
      <c r="F58" s="9"/>
      <c r="G58" s="9"/>
      <c r="H58" s="9"/>
      <c r="I58" s="9"/>
      <c r="J58" s="9"/>
      <c r="K58" s="9"/>
      <c r="L58" s="9"/>
      <c r="M58" s="9"/>
      <c r="N58" s="9"/>
      <c r="O58" s="9"/>
      <c r="P58" s="9"/>
    </row>
    <row r="59" spans="1:16" x14ac:dyDescent="0.2">
      <c r="A59" s="9"/>
      <c r="B59" s="9"/>
      <c r="C59" s="9"/>
      <c r="D59" s="9"/>
      <c r="E59" s="9"/>
      <c r="F59" s="9"/>
      <c r="G59" s="9"/>
      <c r="H59" s="9"/>
      <c r="I59" s="9"/>
      <c r="J59" s="9"/>
      <c r="K59" s="9"/>
      <c r="L59" s="9"/>
      <c r="M59" s="9"/>
      <c r="N59" s="9"/>
      <c r="O59" s="9"/>
      <c r="P59" s="9"/>
    </row>
    <row r="60" spans="1:16" x14ac:dyDescent="0.2">
      <c r="A60" s="9"/>
      <c r="B60" s="9"/>
      <c r="C60" s="9"/>
      <c r="D60" s="9"/>
      <c r="E60" s="9"/>
      <c r="F60" s="9"/>
      <c r="G60" s="9"/>
      <c r="H60" s="9"/>
      <c r="I60" s="9"/>
      <c r="J60" s="9"/>
      <c r="K60" s="9"/>
      <c r="L60" s="9"/>
      <c r="M60" s="9"/>
      <c r="N60" s="9"/>
      <c r="O60" s="9"/>
      <c r="P60" s="9"/>
    </row>
    <row r="61" spans="1:16" x14ac:dyDescent="0.2">
      <c r="A61" s="9"/>
      <c r="B61" s="9"/>
      <c r="C61" s="9"/>
      <c r="D61" s="9"/>
      <c r="E61" s="9"/>
      <c r="F61" s="9"/>
      <c r="G61" s="9"/>
      <c r="H61" s="9"/>
      <c r="I61" s="9"/>
      <c r="J61" s="9"/>
      <c r="K61" s="9"/>
      <c r="L61" s="9"/>
      <c r="M61" s="9"/>
      <c r="N61" s="9"/>
      <c r="O61" s="9"/>
      <c r="P61" s="9"/>
    </row>
    <row r="62" spans="1:16" x14ac:dyDescent="0.2">
      <c r="A62" s="9"/>
      <c r="B62" s="9"/>
      <c r="C62" s="9"/>
      <c r="D62" s="9"/>
      <c r="E62" s="9"/>
      <c r="F62" s="9"/>
      <c r="G62" s="9"/>
      <c r="H62" s="9"/>
      <c r="I62" s="9"/>
      <c r="J62" s="9"/>
      <c r="K62" s="9"/>
      <c r="L62" s="9"/>
      <c r="M62" s="9"/>
      <c r="N62" s="9"/>
      <c r="O62" s="9"/>
      <c r="P62" s="9"/>
    </row>
    <row r="63" spans="1:16" x14ac:dyDescent="0.2">
      <c r="A63" s="9"/>
      <c r="B63" s="9"/>
      <c r="C63" s="9"/>
      <c r="D63" s="9"/>
      <c r="E63" s="9"/>
      <c r="F63" s="9"/>
      <c r="G63" s="9"/>
      <c r="H63" s="9"/>
      <c r="I63" s="9"/>
      <c r="J63" s="9"/>
      <c r="K63" s="9"/>
      <c r="L63" s="9"/>
      <c r="M63" s="9"/>
      <c r="N63" s="9"/>
      <c r="O63" s="9"/>
      <c r="P63" s="9"/>
    </row>
    <row r="64" spans="1:16" x14ac:dyDescent="0.2">
      <c r="A64" s="9"/>
      <c r="B64" s="9"/>
      <c r="C64" s="9"/>
      <c r="D64" s="9"/>
      <c r="E64" s="9"/>
      <c r="F64" s="9"/>
      <c r="G64" s="9"/>
      <c r="H64" s="9"/>
      <c r="I64" s="9"/>
      <c r="J64" s="9"/>
      <c r="K64" s="9"/>
      <c r="L64" s="9"/>
      <c r="M64" s="9"/>
      <c r="N64" s="9"/>
      <c r="O64" s="9"/>
      <c r="P64" s="9"/>
    </row>
    <row r="65" spans="1:16" x14ac:dyDescent="0.2">
      <c r="A65" s="9"/>
      <c r="B65" s="9"/>
      <c r="C65" s="9"/>
      <c r="D65" s="9"/>
      <c r="E65" s="9"/>
      <c r="F65" s="9"/>
      <c r="G65" s="9"/>
      <c r="H65" s="9"/>
      <c r="I65" s="9"/>
      <c r="J65" s="9"/>
      <c r="K65" s="9"/>
      <c r="L65" s="9"/>
      <c r="M65" s="9"/>
      <c r="N65" s="9"/>
      <c r="O65" s="9"/>
      <c r="P65" s="9"/>
    </row>
    <row r="66" spans="1:16" x14ac:dyDescent="0.2">
      <c r="A66" s="9"/>
      <c r="B66" s="9"/>
      <c r="C66" s="9"/>
      <c r="D66" s="9"/>
      <c r="E66" s="9"/>
      <c r="F66" s="9"/>
      <c r="G66" s="9"/>
      <c r="H66" s="9"/>
      <c r="I66" s="9"/>
      <c r="J66" s="9"/>
      <c r="K66" s="9"/>
      <c r="L66" s="9"/>
      <c r="M66" s="9"/>
      <c r="N66" s="9"/>
      <c r="O66" s="9"/>
      <c r="P66" s="9"/>
    </row>
    <row r="67" spans="1:16" x14ac:dyDescent="0.2">
      <c r="A67" s="9"/>
      <c r="B67" s="9"/>
      <c r="C67" s="9"/>
      <c r="D67" s="9"/>
      <c r="E67" s="9"/>
      <c r="F67" s="9"/>
      <c r="G67" s="9"/>
      <c r="H67" s="9"/>
      <c r="I67" s="9"/>
      <c r="J67" s="9"/>
      <c r="K67" s="9"/>
      <c r="L67" s="9"/>
      <c r="M67" s="9"/>
      <c r="N67" s="9"/>
      <c r="O67" s="9"/>
      <c r="P67" s="9"/>
    </row>
    <row r="68" spans="1:16" x14ac:dyDescent="0.2">
      <c r="A68" s="9"/>
      <c r="B68" s="9"/>
      <c r="C68" s="9"/>
      <c r="D68" s="9"/>
      <c r="E68" s="9"/>
      <c r="F68" s="9"/>
      <c r="G68" s="9"/>
      <c r="H68" s="9"/>
      <c r="I68" s="9"/>
      <c r="J68" s="9"/>
      <c r="K68" s="9"/>
      <c r="L68" s="9"/>
      <c r="M68" s="9"/>
      <c r="N68" s="9"/>
      <c r="O68" s="9"/>
      <c r="P68" s="9"/>
    </row>
    <row r="69" spans="1:16" x14ac:dyDescent="0.2">
      <c r="A69" s="9"/>
      <c r="B69" s="9"/>
      <c r="C69" s="9"/>
      <c r="D69" s="9"/>
      <c r="E69" s="9"/>
      <c r="F69" s="9"/>
      <c r="G69" s="9"/>
      <c r="H69" s="9"/>
      <c r="I69" s="9"/>
      <c r="J69" s="9"/>
      <c r="K69" s="9"/>
      <c r="L69" s="9"/>
      <c r="M69" s="9"/>
      <c r="N69" s="9"/>
      <c r="O69" s="9"/>
      <c r="P69" s="9"/>
    </row>
    <row r="70" spans="1:16" x14ac:dyDescent="0.2">
      <c r="A70" s="9"/>
      <c r="B70" s="9"/>
      <c r="C70" s="9"/>
      <c r="D70" s="9"/>
      <c r="E70" s="9"/>
      <c r="F70" s="9"/>
      <c r="G70" s="9"/>
      <c r="H70" s="9"/>
      <c r="I70" s="9"/>
      <c r="J70" s="9"/>
      <c r="K70" s="9"/>
      <c r="L70" s="9"/>
      <c r="M70" s="9"/>
      <c r="N70" s="9"/>
      <c r="O70" s="9"/>
      <c r="P70" s="9"/>
    </row>
    <row r="71" spans="1:16" x14ac:dyDescent="0.2">
      <c r="A71" s="9"/>
      <c r="B71" s="9"/>
      <c r="C71" s="9"/>
      <c r="D71" s="9"/>
      <c r="E71" s="9"/>
      <c r="F71" s="9"/>
      <c r="G71" s="9"/>
      <c r="H71" s="9"/>
      <c r="I71" s="9"/>
      <c r="J71" s="9"/>
      <c r="K71" s="9"/>
      <c r="L71" s="9"/>
      <c r="M71" s="9"/>
      <c r="N71" s="9"/>
      <c r="O71" s="9"/>
      <c r="P71" s="9"/>
    </row>
    <row r="72" spans="1:16" x14ac:dyDescent="0.2">
      <c r="A72" s="9"/>
      <c r="B72" s="9"/>
      <c r="C72" s="9"/>
      <c r="D72" s="9"/>
      <c r="E72" s="9"/>
      <c r="F72" s="9"/>
      <c r="G72" s="9"/>
      <c r="H72" s="9"/>
      <c r="I72" s="9"/>
      <c r="J72" s="9"/>
      <c r="K72" s="9"/>
      <c r="L72" s="9"/>
      <c r="M72" s="9"/>
      <c r="N72" s="9"/>
      <c r="O72" s="9"/>
      <c r="P72" s="9"/>
    </row>
    <row r="73" spans="1:16" x14ac:dyDescent="0.2">
      <c r="A73" s="9"/>
      <c r="B73" s="9"/>
      <c r="C73" s="9"/>
      <c r="D73" s="9"/>
      <c r="E73" s="9"/>
      <c r="F73" s="9"/>
      <c r="G73" s="9"/>
      <c r="H73" s="9"/>
      <c r="I73" s="9"/>
      <c r="J73" s="9"/>
      <c r="K73" s="9"/>
      <c r="L73" s="9"/>
      <c r="M73" s="9"/>
      <c r="N73" s="9"/>
      <c r="O73" s="9"/>
      <c r="P73" s="9"/>
    </row>
    <row r="74" spans="1:16" x14ac:dyDescent="0.2">
      <c r="A74" s="9"/>
      <c r="B74" s="9"/>
      <c r="C74" s="9"/>
      <c r="D74" s="9"/>
      <c r="E74" s="9"/>
      <c r="F74" s="9"/>
      <c r="G74" s="9"/>
      <c r="H74" s="9"/>
      <c r="I74" s="9"/>
      <c r="J74" s="9"/>
      <c r="K74" s="9"/>
      <c r="L74" s="9"/>
      <c r="M74" s="9"/>
      <c r="N74" s="9"/>
      <c r="O74" s="9"/>
      <c r="P74" s="9"/>
    </row>
    <row r="75" spans="1:16" x14ac:dyDescent="0.2">
      <c r="A75" s="9"/>
      <c r="B75" s="9"/>
      <c r="C75" s="9"/>
      <c r="D75" s="9"/>
      <c r="E75" s="9"/>
      <c r="F75" s="9"/>
      <c r="G75" s="9"/>
      <c r="H75" s="9"/>
      <c r="I75" s="9"/>
      <c r="J75" s="9"/>
      <c r="K75" s="9"/>
      <c r="L75" s="9"/>
      <c r="M75" s="9"/>
      <c r="N75" s="9"/>
      <c r="O75" s="9"/>
      <c r="P75" s="9"/>
    </row>
    <row r="76" spans="1:16" x14ac:dyDescent="0.2">
      <c r="A76" s="9"/>
      <c r="B76" s="9"/>
      <c r="C76" s="9"/>
      <c r="D76" s="9"/>
      <c r="E76" s="9"/>
      <c r="F76" s="9"/>
      <c r="G76" s="9"/>
      <c r="H76" s="9"/>
      <c r="I76" s="9"/>
      <c r="J76" s="9"/>
      <c r="K76" s="9"/>
      <c r="L76" s="9"/>
      <c r="M76" s="9"/>
      <c r="N76" s="9"/>
      <c r="O76" s="9"/>
      <c r="P76" s="9"/>
    </row>
    <row r="77" spans="1:16" x14ac:dyDescent="0.2">
      <c r="A77" s="9"/>
      <c r="B77" s="9"/>
      <c r="C77" s="9"/>
      <c r="D77" s="9"/>
      <c r="E77" s="9"/>
      <c r="F77" s="9"/>
      <c r="G77" s="9"/>
      <c r="H77" s="9"/>
      <c r="I77" s="9"/>
      <c r="J77" s="9"/>
      <c r="K77" s="9"/>
      <c r="L77" s="9"/>
      <c r="M77" s="9"/>
      <c r="N77" s="9"/>
      <c r="O77" s="9"/>
      <c r="P77" s="9"/>
    </row>
    <row r="78" spans="1:16" x14ac:dyDescent="0.2">
      <c r="A78" s="9"/>
      <c r="B78" s="9"/>
      <c r="C78" s="9"/>
      <c r="D78" s="9"/>
      <c r="E78" s="9"/>
      <c r="F78" s="9"/>
      <c r="G78" s="9"/>
      <c r="H78" s="9"/>
      <c r="I78" s="9"/>
      <c r="J78" s="9"/>
      <c r="K78" s="9"/>
      <c r="L78" s="9"/>
      <c r="M78" s="9"/>
      <c r="N78" s="9"/>
      <c r="O78" s="9"/>
      <c r="P78" s="9"/>
    </row>
    <row r="79" spans="1:16" x14ac:dyDescent="0.2">
      <c r="A79" s="9"/>
      <c r="B79" s="9"/>
      <c r="C79" s="9"/>
      <c r="D79" s="9"/>
      <c r="E79" s="9"/>
      <c r="F79" s="9"/>
      <c r="G79" s="9"/>
      <c r="H79" s="9"/>
      <c r="I79" s="9"/>
      <c r="J79" s="9"/>
      <c r="K79" s="9"/>
      <c r="L79" s="9"/>
      <c r="M79" s="9"/>
      <c r="N79" s="9"/>
      <c r="O79" s="9"/>
      <c r="P79" s="9"/>
    </row>
    <row r="80" spans="1:16" x14ac:dyDescent="0.2">
      <c r="A80" s="9"/>
      <c r="B80" s="9"/>
      <c r="C80" s="9"/>
      <c r="D80" s="9"/>
      <c r="E80" s="9"/>
      <c r="F80" s="9"/>
      <c r="G80" s="9"/>
      <c r="H80" s="9"/>
      <c r="I80" s="9"/>
      <c r="J80" s="9"/>
      <c r="K80" s="9"/>
      <c r="L80" s="9"/>
      <c r="M80" s="9"/>
      <c r="N80" s="9"/>
      <c r="O80" s="9"/>
      <c r="P80" s="9"/>
    </row>
    <row r="81" spans="1:16" x14ac:dyDescent="0.2">
      <c r="A81" s="9"/>
      <c r="B81" s="9"/>
      <c r="C81" s="9"/>
      <c r="D81" s="9"/>
      <c r="E81" s="9"/>
      <c r="F81" s="9"/>
      <c r="G81" s="9"/>
      <c r="H81" s="9"/>
      <c r="I81" s="9"/>
      <c r="J81" s="9"/>
      <c r="K81" s="9"/>
      <c r="L81" s="9"/>
      <c r="M81" s="9"/>
      <c r="N81" s="9"/>
      <c r="O81" s="9"/>
      <c r="P81" s="9"/>
    </row>
    <row r="82" spans="1:16" x14ac:dyDescent="0.2">
      <c r="A82" s="9"/>
      <c r="B82" s="9"/>
      <c r="C82" s="9"/>
      <c r="D82" s="9"/>
      <c r="E82" s="9"/>
      <c r="F82" s="9"/>
      <c r="G82" s="9"/>
      <c r="H82" s="9"/>
      <c r="I82" s="9"/>
      <c r="J82" s="9"/>
      <c r="K82" s="9"/>
      <c r="L82" s="9"/>
      <c r="M82" s="9"/>
      <c r="N82" s="9"/>
      <c r="O82" s="9"/>
      <c r="P82" s="9"/>
    </row>
    <row r="83" spans="1:16" x14ac:dyDescent="0.2">
      <c r="A83" s="9"/>
      <c r="B83" s="9"/>
      <c r="C83" s="9"/>
      <c r="D83" s="9"/>
      <c r="E83" s="9"/>
      <c r="F83" s="9"/>
      <c r="G83" s="9"/>
      <c r="H83" s="9"/>
      <c r="I83" s="9"/>
      <c r="J83" s="9"/>
      <c r="K83" s="9"/>
      <c r="L83" s="9"/>
      <c r="M83" s="9"/>
      <c r="N83" s="9"/>
      <c r="O83" s="9"/>
      <c r="P83" s="9"/>
    </row>
    <row r="84" spans="1:16" x14ac:dyDescent="0.2">
      <c r="A84" s="9"/>
      <c r="B84" s="9"/>
      <c r="C84" s="9"/>
      <c r="D84" s="9"/>
      <c r="E84" s="9"/>
      <c r="F84" s="9"/>
      <c r="G84" s="9"/>
      <c r="H84" s="9"/>
      <c r="I84" s="9"/>
      <c r="J84" s="9"/>
      <c r="K84" s="9"/>
      <c r="L84" s="9"/>
      <c r="M84" s="9"/>
      <c r="N84" s="9"/>
      <c r="O84" s="9"/>
      <c r="P84" s="9"/>
    </row>
    <row r="85" spans="1:16" x14ac:dyDescent="0.2">
      <c r="A85" s="9"/>
      <c r="B85" s="9"/>
      <c r="C85" s="9"/>
      <c r="D85" s="9"/>
      <c r="E85" s="9"/>
      <c r="F85" s="9"/>
      <c r="G85" s="9"/>
      <c r="H85" s="9"/>
      <c r="I85" s="9"/>
      <c r="J85" s="9"/>
      <c r="K85" s="9"/>
      <c r="L85" s="9"/>
      <c r="M85" s="9"/>
      <c r="N85" s="9"/>
      <c r="O85" s="9"/>
      <c r="P85" s="9"/>
    </row>
  </sheetData>
  <mergeCells count="2">
    <mergeCell ref="A1:C1"/>
    <mergeCell ref="A3:C3"/>
  </mergeCells>
  <phoneticPr fontId="1" type="noConversion"/>
  <dataValidations count="3">
    <dataValidation type="list" allowBlank="1" showInputMessage="1" showErrorMessage="1" sqref="N21:N23 M5:M30">
      <formula1>版本名称</formula1>
    </dataValidation>
    <dataValidation type="list" allowBlank="1" showInputMessage="1" showErrorMessage="1" sqref="H5:H30">
      <formula1>"已提交,处理中,已上线,已挂起"</formula1>
    </dataValidation>
    <dataValidation type="list" allowBlank="1" showInputMessage="1" showErrorMessage="1" sqref="I5:I25">
      <formula1>"高,中,低"</formula1>
    </dataValidation>
  </dataValidations>
  <pageMargins left="0.75" right="0.75" top="1" bottom="1" header="0.5" footer="0.5"/>
  <pageSetup paperSize="9" orientation="portrait" horizontalDpi="0" verticalDpi="0"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B2:H14"/>
  <sheetViews>
    <sheetView workbookViewId="0">
      <selection activeCell="C5" sqref="C5"/>
    </sheetView>
  </sheetViews>
  <sheetFormatPr defaultRowHeight="12.75" x14ac:dyDescent="0.2"/>
  <cols>
    <col min="1" max="1" width="2" customWidth="1"/>
    <col min="2" max="2" width="24.85546875" customWidth="1"/>
    <col min="3" max="3" width="15.5703125" customWidth="1"/>
    <col min="4" max="4" width="30.42578125" customWidth="1"/>
    <col min="5" max="6" width="14.5703125" customWidth="1"/>
    <col min="7" max="8" width="19" customWidth="1"/>
  </cols>
  <sheetData>
    <row r="2" spans="2:8" ht="33.75" customHeight="1" x14ac:dyDescent="0.25">
      <c r="B2" s="264" t="s">
        <v>81</v>
      </c>
      <c r="C2" s="265"/>
      <c r="D2" s="265"/>
      <c r="E2" s="265"/>
      <c r="F2" s="265"/>
      <c r="G2" s="265"/>
      <c r="H2" s="266"/>
    </row>
    <row r="3" spans="2:8" ht="159.75" customHeight="1" x14ac:dyDescent="0.2">
      <c r="B3" s="267" t="s">
        <v>82</v>
      </c>
      <c r="C3" s="268"/>
      <c r="D3" s="268"/>
      <c r="E3" s="268"/>
      <c r="F3" s="268"/>
      <c r="G3" s="268"/>
      <c r="H3" s="268"/>
    </row>
    <row r="4" spans="2:8" ht="13.5" customHeight="1" x14ac:dyDescent="0.2"/>
    <row r="5" spans="2:8" ht="16.5" customHeight="1" x14ac:dyDescent="0.2">
      <c r="B5" s="16" t="s">
        <v>79</v>
      </c>
      <c r="C5" s="19">
        <f>COUNT(B9:B36)</f>
        <v>0</v>
      </c>
    </row>
    <row r="6" spans="2:8" s="50" customFormat="1" ht="19.5" customHeight="1" x14ac:dyDescent="0.2">
      <c r="B6" s="49"/>
      <c r="C6" s="37"/>
    </row>
    <row r="7" spans="2:8" ht="18.75" customHeight="1" x14ac:dyDescent="0.2">
      <c r="B7" s="18" t="s">
        <v>80</v>
      </c>
    </row>
    <row r="8" spans="2:8" ht="24.75" x14ac:dyDescent="0.2">
      <c r="B8" s="17" t="s">
        <v>63</v>
      </c>
      <c r="C8" s="17" t="s">
        <v>44</v>
      </c>
      <c r="D8" s="17" t="s">
        <v>46</v>
      </c>
      <c r="E8" s="17" t="s">
        <v>48</v>
      </c>
      <c r="F8" s="17" t="s">
        <v>96</v>
      </c>
      <c r="G8" s="17" t="s">
        <v>83</v>
      </c>
      <c r="H8" s="17" t="s">
        <v>84</v>
      </c>
    </row>
    <row r="9" spans="2:8" ht="13.5" customHeight="1" x14ac:dyDescent="0.2">
      <c r="B9" s="19"/>
      <c r="C9" s="27"/>
      <c r="D9" s="19"/>
      <c r="E9" s="19"/>
      <c r="F9" s="19"/>
      <c r="G9" s="19"/>
      <c r="H9" s="19"/>
    </row>
    <row r="10" spans="2:8" ht="13.5" customHeight="1" x14ac:dyDescent="0.2">
      <c r="B10" s="19"/>
      <c r="C10" s="27"/>
      <c r="D10" s="19"/>
      <c r="E10" s="19"/>
      <c r="F10" s="19"/>
      <c r="G10" s="19"/>
      <c r="H10" s="19"/>
    </row>
    <row r="11" spans="2:8" ht="13.5" customHeight="1" x14ac:dyDescent="0.2">
      <c r="B11" s="19"/>
      <c r="C11" s="27"/>
      <c r="D11" s="19"/>
      <c r="E11" s="19"/>
      <c r="F11" s="19"/>
      <c r="G11" s="19"/>
      <c r="H11" s="19"/>
    </row>
    <row r="12" spans="2:8" ht="13.5" customHeight="1" x14ac:dyDescent="0.2">
      <c r="B12" s="19"/>
      <c r="C12" s="27"/>
      <c r="D12" s="19"/>
      <c r="E12" s="19"/>
      <c r="F12" s="19"/>
      <c r="G12" s="19"/>
      <c r="H12" s="19"/>
    </row>
    <row r="13" spans="2:8" ht="13.5" customHeight="1" x14ac:dyDescent="0.2">
      <c r="B13" s="19"/>
      <c r="C13" s="27"/>
      <c r="D13" s="19"/>
      <c r="E13" s="19"/>
      <c r="F13" s="19"/>
      <c r="G13" s="19"/>
      <c r="H13" s="19"/>
    </row>
    <row r="14" spans="2:8" ht="12.75" customHeight="1" x14ac:dyDescent="0.2">
      <c r="B14" s="19"/>
      <c r="C14" s="27"/>
      <c r="D14" s="19"/>
      <c r="E14" s="19"/>
      <c r="F14" s="19"/>
      <c r="G14" s="19"/>
      <c r="H14" s="19"/>
    </row>
  </sheetData>
  <mergeCells count="2">
    <mergeCell ref="B2:H2"/>
    <mergeCell ref="B3:H3"/>
  </mergeCells>
  <phoneticPr fontId="1" type="noConversion"/>
  <dataValidations count="1">
    <dataValidation type="list" allowBlank="1" showInputMessage="1" showErrorMessage="1" sqref="G9:G14">
      <formula1>"合并到其他ISR,已有其他方案,用户取消,用户需求变更,用户需求重复提交,当前技术无法实现,缺乏公司业务政策支持/业务政策即将失效"</formula1>
    </dataValidation>
  </dataValidations>
  <pageMargins left="0.75" right="0.75" top="1" bottom="1" header="0.5" footer="0.5"/>
  <pageSetup paperSize="9" orientation="portrait" horizontalDpi="300" verticalDpi="300"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B2:H18"/>
  <sheetViews>
    <sheetView workbookViewId="0">
      <selection activeCell="C5" sqref="C5"/>
    </sheetView>
  </sheetViews>
  <sheetFormatPr defaultRowHeight="12.75" x14ac:dyDescent="0.2"/>
  <cols>
    <col min="1" max="1" width="2" customWidth="1"/>
    <col min="2" max="2" width="24.85546875" customWidth="1"/>
    <col min="3" max="3" width="15.5703125" customWidth="1"/>
    <col min="4" max="4" width="30.42578125" customWidth="1"/>
    <col min="5" max="5" width="15.85546875" customWidth="1"/>
    <col min="6" max="6" width="16" customWidth="1"/>
    <col min="7" max="7" width="11.7109375" customWidth="1"/>
    <col min="8" max="8" width="11.5703125" customWidth="1"/>
  </cols>
  <sheetData>
    <row r="2" spans="2:8" ht="33.75" customHeight="1" x14ac:dyDescent="0.25">
      <c r="B2" s="264" t="s">
        <v>95</v>
      </c>
      <c r="C2" s="265"/>
      <c r="D2" s="265"/>
      <c r="E2" s="265"/>
      <c r="F2" s="265"/>
      <c r="G2" s="265"/>
      <c r="H2" s="266"/>
    </row>
    <row r="3" spans="2:8" ht="93.75" customHeight="1" x14ac:dyDescent="0.2">
      <c r="B3" s="267" t="s">
        <v>88</v>
      </c>
      <c r="C3" s="268"/>
      <c r="D3" s="268"/>
      <c r="E3" s="268"/>
      <c r="F3" s="268"/>
      <c r="G3" s="268"/>
      <c r="H3" s="268"/>
    </row>
    <row r="4" spans="2:8" ht="13.5" customHeight="1" x14ac:dyDescent="0.2"/>
    <row r="5" spans="2:8" ht="18" customHeight="1" x14ac:dyDescent="0.2">
      <c r="B5" s="16" t="s">
        <v>86</v>
      </c>
      <c r="C5" s="19">
        <f>COUNTIF(ISR清单!I4:I47,"待分析")</f>
        <v>0</v>
      </c>
      <c r="D5" s="51"/>
    </row>
    <row r="6" spans="2:8" ht="18" customHeight="1" x14ac:dyDescent="0.2">
      <c r="B6" s="16" t="s">
        <v>85</v>
      </c>
      <c r="C6" s="19">
        <f>COUNTIF(ISR清单!I4:I47,"待排期")</f>
        <v>3</v>
      </c>
    </row>
    <row r="7" spans="2:8" ht="18" customHeight="1" x14ac:dyDescent="0.2">
      <c r="B7" s="35" t="s">
        <v>87</v>
      </c>
      <c r="C7" s="16">
        <f>COUNTIF(ISR清单!I4:I47,"已挂起")</f>
        <v>0</v>
      </c>
    </row>
    <row r="8" spans="2:8" s="50" customFormat="1" ht="19.5" customHeight="1" x14ac:dyDescent="0.2">
      <c r="B8" s="49"/>
      <c r="C8" s="37"/>
    </row>
    <row r="9" spans="2:8" ht="18.75" customHeight="1" x14ac:dyDescent="0.2">
      <c r="B9" s="18" t="s">
        <v>78</v>
      </c>
    </row>
    <row r="10" spans="2:8" x14ac:dyDescent="0.2">
      <c r="B10" s="17" t="s">
        <v>63</v>
      </c>
      <c r="C10" s="17" t="s">
        <v>44</v>
      </c>
      <c r="D10" s="17" t="s">
        <v>46</v>
      </c>
      <c r="E10" s="17" t="s">
        <v>48</v>
      </c>
      <c r="F10" s="17" t="s">
        <v>96</v>
      </c>
      <c r="G10" s="17" t="s">
        <v>53</v>
      </c>
      <c r="H10" s="17" t="s">
        <v>84</v>
      </c>
    </row>
    <row r="11" spans="2:8" ht="13.5" customHeight="1" x14ac:dyDescent="0.2">
      <c r="B11" s="19"/>
      <c r="C11" s="27"/>
      <c r="D11" s="19"/>
      <c r="E11" s="19"/>
      <c r="F11" s="19"/>
      <c r="G11" s="19"/>
      <c r="H11" s="19"/>
    </row>
    <row r="12" spans="2:8" ht="13.5" customHeight="1" x14ac:dyDescent="0.2">
      <c r="B12" s="19"/>
      <c r="C12" s="27"/>
      <c r="D12" s="19"/>
      <c r="E12" s="19"/>
      <c r="F12" s="19"/>
      <c r="G12" s="19"/>
      <c r="H12" s="19"/>
    </row>
    <row r="13" spans="2:8" ht="13.5" customHeight="1" x14ac:dyDescent="0.2">
      <c r="B13" s="19"/>
      <c r="C13" s="27"/>
      <c r="D13" s="19"/>
      <c r="E13" s="19"/>
      <c r="F13" s="19"/>
      <c r="G13" s="19"/>
      <c r="H13" s="19"/>
    </row>
    <row r="14" spans="2:8" ht="13.5" customHeight="1" x14ac:dyDescent="0.2">
      <c r="B14" s="19"/>
      <c r="C14" s="27"/>
      <c r="D14" s="19"/>
      <c r="E14" s="19"/>
      <c r="F14" s="19"/>
      <c r="G14" s="19"/>
      <c r="H14" s="19"/>
    </row>
    <row r="15" spans="2:8" ht="13.5" customHeight="1" x14ac:dyDescent="0.2">
      <c r="B15" s="19"/>
      <c r="C15" s="27"/>
      <c r="D15" s="19"/>
      <c r="E15" s="19"/>
      <c r="F15" s="19"/>
      <c r="G15" s="19"/>
      <c r="H15" s="19"/>
    </row>
    <row r="16" spans="2:8" ht="12.75" customHeight="1" x14ac:dyDescent="0.2">
      <c r="B16" s="19"/>
      <c r="C16" s="27"/>
      <c r="D16" s="19"/>
      <c r="E16" s="19"/>
      <c r="F16" s="19"/>
      <c r="G16" s="19"/>
      <c r="H16" s="19"/>
    </row>
    <row r="18" spans="2:7" ht="67.5" customHeight="1" x14ac:dyDescent="0.2">
      <c r="B18" s="269" t="s">
        <v>94</v>
      </c>
      <c r="C18" s="270"/>
      <c r="D18" s="270"/>
      <c r="E18" s="270"/>
      <c r="F18" s="270"/>
      <c r="G18" s="270"/>
    </row>
  </sheetData>
  <mergeCells count="3">
    <mergeCell ref="B2:H2"/>
    <mergeCell ref="B3:H3"/>
    <mergeCell ref="B18:G18"/>
  </mergeCells>
  <phoneticPr fontId="1" type="noConversion"/>
  <dataValidations disablePrompts="1" count="1">
    <dataValidation type="list" allowBlank="1" showInputMessage="1" showErrorMessage="1" sqref="G11:G16">
      <formula1>"待分析,待排期,挂起1,挂起2"</formula1>
    </dataValidation>
  </dataValidations>
  <pageMargins left="0.75" right="0.75" top="1" bottom="1" header="0.5" footer="0.5"/>
  <pageSetup paperSize="9" orientation="portrait" horizontalDpi="300" verticalDpi="300"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B2:H38"/>
  <sheetViews>
    <sheetView topLeftCell="A21" workbookViewId="0">
      <selection activeCell="C38" sqref="C38:H38"/>
    </sheetView>
  </sheetViews>
  <sheetFormatPr defaultRowHeight="12.75" x14ac:dyDescent="0.2"/>
  <cols>
    <col min="1" max="1" width="2" customWidth="1"/>
    <col min="2" max="2" width="28.28515625" customWidth="1"/>
    <col min="3" max="3" width="15.5703125" customWidth="1"/>
    <col min="4" max="4" width="30.42578125" customWidth="1"/>
    <col min="5" max="5" width="12.42578125" customWidth="1"/>
    <col min="6" max="6" width="15.140625" customWidth="1"/>
    <col min="7" max="7" width="12.140625" customWidth="1"/>
    <col min="8" max="8" width="9.5703125" hidden="1" customWidth="1"/>
  </cols>
  <sheetData>
    <row r="2" spans="2:8" ht="33.75" customHeight="1" x14ac:dyDescent="0.25">
      <c r="B2" s="279" t="s">
        <v>57</v>
      </c>
      <c r="C2" s="280"/>
      <c r="D2" s="280"/>
      <c r="E2" s="280"/>
      <c r="F2" s="280"/>
      <c r="G2" s="280"/>
      <c r="H2" s="281"/>
    </row>
    <row r="3" spans="2:8" ht="141.75" customHeight="1" x14ac:dyDescent="0.2">
      <c r="B3" s="282" t="s">
        <v>100</v>
      </c>
      <c r="C3" s="283"/>
      <c r="D3" s="283"/>
      <c r="E3" s="283"/>
      <c r="F3" s="283"/>
      <c r="G3" s="283"/>
      <c r="H3" s="284"/>
    </row>
    <row r="4" spans="2:8" ht="13.5" customHeight="1" x14ac:dyDescent="0.2"/>
    <row r="5" spans="2:8" x14ac:dyDescent="0.2">
      <c r="B5" s="16" t="s">
        <v>61</v>
      </c>
      <c r="C5" s="9" t="s">
        <v>93</v>
      </c>
    </row>
    <row r="6" spans="2:8" ht="14.25" customHeight="1" x14ac:dyDescent="0.2">
      <c r="B6" s="16" t="s">
        <v>86</v>
      </c>
      <c r="C6" s="19">
        <f>COUNTIF(ISR清单!I4:I47,"待分析")</f>
        <v>0</v>
      </c>
    </row>
    <row r="7" spans="2:8" ht="14.25" customHeight="1" x14ac:dyDescent="0.2">
      <c r="B7" s="16" t="s">
        <v>85</v>
      </c>
      <c r="C7" s="19">
        <f>COUNTIF(ISR清单!I4:I47,"待排期")</f>
        <v>3</v>
      </c>
    </row>
    <row r="8" spans="2:8" ht="14.25" customHeight="1" x14ac:dyDescent="0.2">
      <c r="B8" s="35" t="s">
        <v>87</v>
      </c>
      <c r="C8" s="16">
        <f>COUNTIF(ISR清单!I4:I47,"已挂起")</f>
        <v>0</v>
      </c>
    </row>
    <row r="9" spans="2:8" ht="14.25" customHeight="1" x14ac:dyDescent="0.2">
      <c r="B9" s="16" t="s">
        <v>89</v>
      </c>
      <c r="C9" s="19">
        <f>本月退回ISR清单!C5</f>
        <v>0</v>
      </c>
    </row>
    <row r="10" spans="2:8" s="50" customFormat="1" x14ac:dyDescent="0.2">
      <c r="B10" s="49"/>
      <c r="C10" s="38"/>
    </row>
    <row r="11" spans="2:8" x14ac:dyDescent="0.2">
      <c r="B11" s="18" t="s">
        <v>17</v>
      </c>
      <c r="C11" s="23"/>
      <c r="D11" s="23"/>
      <c r="E11" s="23"/>
      <c r="F11" s="23"/>
      <c r="G11" s="23"/>
      <c r="H11" s="23"/>
    </row>
    <row r="12" spans="2:8" x14ac:dyDescent="0.2">
      <c r="B12" s="17" t="s">
        <v>18</v>
      </c>
      <c r="C12" s="17" t="s">
        <v>59</v>
      </c>
      <c r="D12" s="43" t="s">
        <v>58</v>
      </c>
      <c r="E12" s="47"/>
      <c r="F12" s="46"/>
      <c r="G12" s="46"/>
    </row>
    <row r="13" spans="2:8" x14ac:dyDescent="0.2">
      <c r="B13" s="24" t="s">
        <v>75</v>
      </c>
      <c r="C13" s="25"/>
      <c r="D13" s="44"/>
      <c r="E13" s="45"/>
      <c r="F13" s="38"/>
      <c r="G13" s="38"/>
    </row>
    <row r="14" spans="2:8" x14ac:dyDescent="0.2">
      <c r="B14" s="24" t="s">
        <v>74</v>
      </c>
      <c r="C14" s="25"/>
      <c r="D14" s="44"/>
      <c r="E14" s="45"/>
      <c r="F14" s="38"/>
      <c r="G14" s="38"/>
    </row>
    <row r="15" spans="2:8" x14ac:dyDescent="0.2">
      <c r="B15" s="41" t="s">
        <v>73</v>
      </c>
      <c r="C15" s="25"/>
      <c r="D15" s="44"/>
      <c r="E15" s="45"/>
      <c r="F15" s="38"/>
      <c r="G15" s="38"/>
    </row>
    <row r="16" spans="2:8" x14ac:dyDescent="0.2">
      <c r="B16" s="24" t="s">
        <v>19</v>
      </c>
      <c r="C16" s="25"/>
      <c r="D16" s="44"/>
      <c r="E16" s="45"/>
      <c r="F16" s="38"/>
      <c r="G16" s="38"/>
    </row>
    <row r="18" spans="2:8" x14ac:dyDescent="0.2">
      <c r="B18" s="18" t="s">
        <v>68</v>
      </c>
    </row>
    <row r="19" spans="2:8" ht="24.75" x14ac:dyDescent="0.2">
      <c r="B19" s="17" t="s">
        <v>63</v>
      </c>
      <c r="C19" s="17" t="s">
        <v>44</v>
      </c>
      <c r="D19" s="17" t="s">
        <v>46</v>
      </c>
      <c r="E19" s="17" t="s">
        <v>48</v>
      </c>
      <c r="F19" s="53" t="s">
        <v>98</v>
      </c>
      <c r="G19" s="17" t="s">
        <v>49</v>
      </c>
      <c r="H19" s="17" t="s">
        <v>56</v>
      </c>
    </row>
    <row r="20" spans="2:8" ht="13.5" customHeight="1" x14ac:dyDescent="0.2">
      <c r="B20" s="19"/>
      <c r="C20" s="27"/>
      <c r="D20" s="19"/>
      <c r="E20" s="19"/>
      <c r="F20" s="19"/>
      <c r="G20" s="19"/>
      <c r="H20" s="19"/>
    </row>
    <row r="21" spans="2:8" ht="13.5" customHeight="1" x14ac:dyDescent="0.2">
      <c r="B21" s="19"/>
      <c r="C21" s="27"/>
      <c r="D21" s="19"/>
      <c r="E21" s="19"/>
      <c r="F21" s="19"/>
      <c r="G21" s="19"/>
      <c r="H21" s="19"/>
    </row>
    <row r="22" spans="2:8" ht="13.5" customHeight="1" x14ac:dyDescent="0.2">
      <c r="B22" s="19"/>
      <c r="C22" s="27"/>
      <c r="D22" s="19"/>
      <c r="E22" s="19"/>
      <c r="F22" s="19"/>
      <c r="G22" s="19"/>
      <c r="H22" s="19"/>
    </row>
    <row r="23" spans="2:8" ht="12.75" customHeight="1" x14ac:dyDescent="0.2">
      <c r="B23" s="19"/>
      <c r="C23" s="27"/>
      <c r="D23" s="19"/>
      <c r="E23" s="19"/>
      <c r="F23" s="19"/>
      <c r="G23" s="19"/>
      <c r="H23" s="19"/>
    </row>
    <row r="24" spans="2:8" x14ac:dyDescent="0.2">
      <c r="B24" s="18"/>
      <c r="C24" s="23"/>
      <c r="D24" s="23"/>
      <c r="E24" s="23"/>
      <c r="F24" s="23"/>
      <c r="G24" s="23"/>
      <c r="H24" s="23"/>
    </row>
    <row r="25" spans="2:8" x14ac:dyDescent="0.2">
      <c r="B25" s="18" t="s">
        <v>69</v>
      </c>
      <c r="C25" s="23"/>
      <c r="D25" s="23"/>
      <c r="E25" s="23"/>
      <c r="F25" s="23"/>
      <c r="G25" s="23"/>
      <c r="H25" s="23"/>
    </row>
    <row r="26" spans="2:8" ht="24.75" x14ac:dyDescent="0.2">
      <c r="B26" s="17" t="s">
        <v>64</v>
      </c>
      <c r="C26" s="17" t="s">
        <v>52</v>
      </c>
      <c r="D26" s="17" t="s">
        <v>54</v>
      </c>
      <c r="E26" s="17" t="s">
        <v>48</v>
      </c>
      <c r="F26" s="53" t="s">
        <v>99</v>
      </c>
      <c r="G26" s="17" t="s">
        <v>71</v>
      </c>
      <c r="H26" s="17" t="s">
        <v>72</v>
      </c>
    </row>
    <row r="27" spans="2:8" x14ac:dyDescent="0.2">
      <c r="B27" s="39"/>
      <c r="C27" s="40"/>
      <c r="D27" s="39"/>
      <c r="E27" s="19"/>
      <c r="F27" s="19"/>
      <c r="G27" s="39"/>
      <c r="H27" s="39"/>
    </row>
    <row r="28" spans="2:8" x14ac:dyDescent="0.2">
      <c r="B28" s="39"/>
      <c r="C28" s="40"/>
      <c r="D28" s="39"/>
      <c r="E28" s="19"/>
      <c r="F28" s="19"/>
      <c r="G28" s="39"/>
      <c r="H28" s="39"/>
    </row>
    <row r="29" spans="2:8" x14ac:dyDescent="0.2">
      <c r="B29" s="19"/>
      <c r="C29" s="27"/>
      <c r="D29" s="19"/>
      <c r="E29" s="19"/>
      <c r="F29" s="19"/>
      <c r="G29" s="19"/>
      <c r="H29" s="19"/>
    </row>
    <row r="30" spans="2:8" x14ac:dyDescent="0.2">
      <c r="B30" s="19"/>
      <c r="C30" s="27"/>
      <c r="D30" s="19"/>
      <c r="E30" s="19"/>
      <c r="F30" s="19"/>
      <c r="G30" s="19"/>
      <c r="H30" s="19"/>
    </row>
    <row r="31" spans="2:8" x14ac:dyDescent="0.2">
      <c r="B31" s="18"/>
      <c r="C31" s="23"/>
      <c r="D31" s="23"/>
      <c r="E31" s="23"/>
      <c r="F31" s="23"/>
      <c r="G31" s="23"/>
      <c r="H31" s="23"/>
    </row>
    <row r="32" spans="2:8" x14ac:dyDescent="0.2">
      <c r="B32" s="18" t="s">
        <v>70</v>
      </c>
    </row>
    <row r="33" spans="2:8" x14ac:dyDescent="0.2">
      <c r="B33" s="11" t="s">
        <v>67</v>
      </c>
      <c r="C33" s="11" t="s">
        <v>65</v>
      </c>
      <c r="D33" s="11" t="s">
        <v>66</v>
      </c>
      <c r="E33" s="285" t="s">
        <v>97</v>
      </c>
      <c r="F33" s="286"/>
      <c r="G33" s="273" t="s">
        <v>20</v>
      </c>
      <c r="H33" s="274"/>
    </row>
    <row r="34" spans="2:8" x14ac:dyDescent="0.2">
      <c r="B34" s="9"/>
      <c r="C34" s="9"/>
      <c r="D34" s="25"/>
      <c r="E34" s="275"/>
      <c r="F34" s="276"/>
      <c r="G34" s="277"/>
      <c r="H34" s="278"/>
    </row>
    <row r="35" spans="2:8" x14ac:dyDescent="0.2">
      <c r="B35" s="9"/>
      <c r="C35" s="9"/>
      <c r="D35" s="25"/>
      <c r="E35" s="275"/>
      <c r="F35" s="276"/>
      <c r="G35" s="277"/>
      <c r="H35" s="278"/>
    </row>
    <row r="36" spans="2:8" x14ac:dyDescent="0.2">
      <c r="B36" s="9"/>
      <c r="C36" s="9"/>
      <c r="D36" s="25"/>
      <c r="E36" s="275"/>
      <c r="F36" s="276"/>
      <c r="G36" s="277"/>
      <c r="H36" s="278"/>
    </row>
    <row r="38" spans="2:8" ht="78" customHeight="1" x14ac:dyDescent="0.2">
      <c r="B38" s="16" t="s">
        <v>62</v>
      </c>
      <c r="C38" s="271" t="s">
        <v>144</v>
      </c>
      <c r="D38" s="272"/>
      <c r="E38" s="272"/>
      <c r="F38" s="272"/>
      <c r="G38" s="272"/>
      <c r="H38" s="272"/>
    </row>
  </sheetData>
  <mergeCells count="11">
    <mergeCell ref="B2:H2"/>
    <mergeCell ref="B3:H3"/>
    <mergeCell ref="E33:F33"/>
    <mergeCell ref="E36:F36"/>
    <mergeCell ref="G36:H36"/>
    <mergeCell ref="C38:H38"/>
    <mergeCell ref="G33:H33"/>
    <mergeCell ref="E34:F34"/>
    <mergeCell ref="G34:H34"/>
    <mergeCell ref="E35:F35"/>
    <mergeCell ref="G35:H35"/>
  </mergeCells>
  <phoneticPr fontId="1" type="noConversion"/>
  <dataValidations count="1">
    <dataValidation type="list" allowBlank="1" showInputMessage="1" showErrorMessage="1" sqref="C5">
      <formula1>版本名称</formula1>
    </dataValidation>
  </dataValidations>
  <pageMargins left="0.75" right="0.75" top="1" bottom="1" header="0.5" footer="0.5"/>
  <pageSetup paperSize="9" orientation="portrait" horizontalDpi="300" verticalDpi="300" r:id="rId1"/>
  <headerFooter alignWithMargins="0"/>
  <drawing r:id="rId2"/>
  <legacyDrawing r:id="rId3"/>
  <controls>
    <mc:AlternateContent xmlns:mc="http://schemas.openxmlformats.org/markup-compatibility/2006">
      <mc:Choice Requires="x14">
        <control shapeId="11267" r:id="rId4" name="CommandButton2">
          <controlPr autoLine="0" r:id="rId5">
            <anchor moveWithCells="1">
              <from>
                <xdr:col>5</xdr:col>
                <xdr:colOff>695325</xdr:colOff>
                <xdr:row>1</xdr:row>
                <xdr:rowOff>76200</xdr:rowOff>
              </from>
              <to>
                <xdr:col>6</xdr:col>
                <xdr:colOff>600075</xdr:colOff>
                <xdr:row>1</xdr:row>
                <xdr:rowOff>361950</xdr:rowOff>
              </to>
            </anchor>
          </controlPr>
        </control>
      </mc:Choice>
      <mc:Fallback>
        <control shapeId="11267" r:id="rId4" name="CommandButton2"/>
      </mc:Fallback>
    </mc:AlternateContent>
    <mc:AlternateContent xmlns:mc="http://schemas.openxmlformats.org/markup-compatibility/2006">
      <mc:Choice Requires="x14">
        <control shapeId="11265" r:id="rId6" name="CommandButton1">
          <controlPr autoLine="0" r:id="rId7">
            <anchor moveWithCells="1">
              <from>
                <xdr:col>4</xdr:col>
                <xdr:colOff>171450</xdr:colOff>
                <xdr:row>1</xdr:row>
                <xdr:rowOff>76200</xdr:rowOff>
              </from>
              <to>
                <xdr:col>5</xdr:col>
                <xdr:colOff>485775</xdr:colOff>
                <xdr:row>1</xdr:row>
                <xdr:rowOff>371475</xdr:rowOff>
              </to>
            </anchor>
          </controlPr>
        </control>
      </mc:Choice>
      <mc:Fallback>
        <control shapeId="11265" r:id="rId6" name="CommandButton1"/>
      </mc:Fallback>
    </mc:AlternateContent>
  </control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S63"/>
  <sheetViews>
    <sheetView topLeftCell="D1" workbookViewId="0">
      <selection activeCell="D2" sqref="A2:IV2"/>
    </sheetView>
  </sheetViews>
  <sheetFormatPr defaultRowHeight="12.75" x14ac:dyDescent="0.2"/>
  <cols>
    <col min="1" max="1" width="20.42578125" customWidth="1"/>
    <col min="3" max="3" width="18.28515625" customWidth="1"/>
    <col min="4" max="4" width="21.7109375" customWidth="1"/>
    <col min="5" max="5" width="11.85546875" customWidth="1"/>
    <col min="12" max="12" width="13.5703125" customWidth="1"/>
    <col min="13" max="13" width="14.5703125" customWidth="1"/>
  </cols>
  <sheetData>
    <row r="1" spans="1:19" s="10" customFormat="1" ht="36.75" x14ac:dyDescent="0.2">
      <c r="A1" s="29" t="s">
        <v>21</v>
      </c>
      <c r="B1" s="29" t="s">
        <v>22</v>
      </c>
      <c r="C1" s="29" t="s">
        <v>23</v>
      </c>
      <c r="D1" s="29" t="s">
        <v>24</v>
      </c>
      <c r="E1" s="29" t="s">
        <v>25</v>
      </c>
      <c r="F1" s="29" t="s">
        <v>26</v>
      </c>
      <c r="G1" s="17" t="s">
        <v>28</v>
      </c>
      <c r="H1" s="17" t="s">
        <v>27</v>
      </c>
      <c r="I1" s="17" t="s">
        <v>29</v>
      </c>
      <c r="J1" s="17" t="s">
        <v>30</v>
      </c>
      <c r="K1" s="17" t="s">
        <v>31</v>
      </c>
      <c r="L1" s="17" t="s">
        <v>32</v>
      </c>
      <c r="M1" s="17" t="s">
        <v>33</v>
      </c>
      <c r="N1" s="17" t="s">
        <v>34</v>
      </c>
      <c r="O1" s="17" t="s">
        <v>37</v>
      </c>
      <c r="P1" s="17" t="s">
        <v>36</v>
      </c>
      <c r="Q1" s="17" t="s">
        <v>35</v>
      </c>
      <c r="R1" s="17" t="s">
        <v>26</v>
      </c>
      <c r="S1" s="17" t="s">
        <v>16</v>
      </c>
    </row>
    <row r="2" spans="1:19" x14ac:dyDescent="0.2">
      <c r="A2" s="19"/>
      <c r="B2" s="19"/>
      <c r="C2" s="19"/>
      <c r="D2" s="20"/>
      <c r="E2" s="19"/>
      <c r="F2" s="19"/>
      <c r="G2" s="19"/>
      <c r="H2" s="19"/>
      <c r="I2" s="19"/>
      <c r="J2" s="19"/>
      <c r="K2" s="19"/>
      <c r="L2" s="19"/>
      <c r="M2" s="19"/>
      <c r="N2" s="19"/>
      <c r="O2" s="19"/>
      <c r="P2" s="20"/>
      <c r="Q2" s="20"/>
      <c r="R2" s="20"/>
      <c r="S2" s="20"/>
    </row>
    <row r="3" spans="1:19" ht="13.5" customHeight="1" x14ac:dyDescent="0.2">
      <c r="A3" s="19"/>
      <c r="B3" s="19"/>
      <c r="C3" s="19"/>
      <c r="D3" s="20"/>
      <c r="E3" s="19"/>
      <c r="F3" s="19"/>
      <c r="G3" s="19"/>
      <c r="H3" s="19"/>
      <c r="I3" s="19"/>
      <c r="J3" s="19"/>
      <c r="K3" s="19"/>
      <c r="L3" s="19"/>
      <c r="M3" s="19"/>
      <c r="N3" s="19"/>
      <c r="O3" s="19"/>
      <c r="P3" s="20"/>
      <c r="Q3" s="20"/>
      <c r="R3" s="20"/>
      <c r="S3" s="20"/>
    </row>
    <row r="4" spans="1:19" x14ac:dyDescent="0.2">
      <c r="A4" s="19"/>
      <c r="B4" s="19"/>
      <c r="C4" s="19"/>
      <c r="D4" s="20"/>
      <c r="E4" s="19"/>
      <c r="F4" s="19"/>
      <c r="G4" s="19"/>
      <c r="H4" s="19"/>
      <c r="I4" s="19"/>
      <c r="J4" s="19"/>
      <c r="K4" s="19"/>
      <c r="L4" s="19"/>
      <c r="M4" s="19"/>
      <c r="N4" s="19"/>
      <c r="O4" s="19"/>
      <c r="P4" s="20"/>
      <c r="Q4" s="20"/>
      <c r="R4" s="20"/>
      <c r="S4" s="20"/>
    </row>
    <row r="5" spans="1:19" ht="13.5" customHeight="1" x14ac:dyDescent="0.2">
      <c r="A5" s="19"/>
      <c r="B5" s="19"/>
      <c r="C5" s="19"/>
      <c r="D5" s="20"/>
      <c r="E5" s="19"/>
      <c r="F5" s="19"/>
      <c r="G5" s="19"/>
      <c r="H5" s="19"/>
      <c r="I5" s="19"/>
      <c r="J5" s="19"/>
      <c r="K5" s="19"/>
      <c r="L5" s="19"/>
      <c r="M5" s="19"/>
      <c r="N5" s="19"/>
      <c r="O5" s="19"/>
      <c r="P5" s="20"/>
      <c r="Q5" s="20"/>
      <c r="R5" s="20"/>
      <c r="S5" s="20"/>
    </row>
    <row r="6" spans="1:19" x14ac:dyDescent="0.2">
      <c r="A6" s="19"/>
      <c r="B6" s="19"/>
      <c r="C6" s="19"/>
      <c r="D6" s="20"/>
      <c r="E6" s="19"/>
      <c r="F6" s="19"/>
      <c r="G6" s="19"/>
      <c r="H6" s="19"/>
      <c r="I6" s="19"/>
      <c r="J6" s="19"/>
      <c r="K6" s="19"/>
      <c r="L6" s="19"/>
      <c r="M6" s="19"/>
      <c r="N6" s="19"/>
      <c r="O6" s="19"/>
      <c r="P6" s="20"/>
      <c r="Q6" s="20"/>
      <c r="R6" s="20"/>
      <c r="S6" s="20"/>
    </row>
    <row r="7" spans="1:19" ht="13.5" customHeight="1" x14ac:dyDescent="0.2">
      <c r="A7" s="19"/>
      <c r="B7" s="19"/>
      <c r="C7" s="19"/>
      <c r="D7" s="20"/>
      <c r="E7" s="19"/>
      <c r="F7" s="19"/>
      <c r="G7" s="19"/>
      <c r="H7" s="19"/>
      <c r="I7" s="19"/>
      <c r="J7" s="19"/>
      <c r="K7" s="19"/>
      <c r="L7" s="19"/>
      <c r="M7" s="19"/>
      <c r="N7" s="19"/>
      <c r="O7" s="19"/>
      <c r="P7" s="20"/>
      <c r="Q7" s="20"/>
      <c r="R7" s="20"/>
      <c r="S7" s="20"/>
    </row>
    <row r="8" spans="1:19" x14ac:dyDescent="0.2">
      <c r="A8" s="19"/>
      <c r="B8" s="19"/>
      <c r="C8" s="19"/>
      <c r="D8" s="20"/>
      <c r="E8" s="19"/>
      <c r="F8" s="19"/>
      <c r="G8" s="19"/>
      <c r="H8" s="19"/>
      <c r="I8" s="19"/>
      <c r="J8" s="19"/>
      <c r="K8" s="19"/>
      <c r="L8" s="19"/>
      <c r="M8" s="19"/>
      <c r="N8" s="19"/>
      <c r="O8" s="19"/>
      <c r="P8" s="20"/>
      <c r="Q8" s="20"/>
      <c r="R8" s="20"/>
      <c r="S8" s="20"/>
    </row>
    <row r="9" spans="1:19" x14ac:dyDescent="0.2">
      <c r="A9" s="19"/>
      <c r="B9" s="19"/>
      <c r="C9" s="19"/>
      <c r="D9" s="20"/>
      <c r="E9" s="19"/>
      <c r="F9" s="19"/>
      <c r="G9" s="19"/>
      <c r="H9" s="19"/>
      <c r="I9" s="19"/>
      <c r="J9" s="19"/>
      <c r="K9" s="19"/>
      <c r="L9" s="19"/>
      <c r="M9" s="19"/>
      <c r="N9" s="19"/>
      <c r="O9" s="19"/>
      <c r="P9" s="20"/>
      <c r="Q9" s="20"/>
      <c r="R9" s="20"/>
      <c r="S9" s="20"/>
    </row>
    <row r="10" spans="1:19" x14ac:dyDescent="0.2">
      <c r="A10" s="19"/>
      <c r="B10" s="19"/>
      <c r="C10" s="19"/>
      <c r="D10" s="20"/>
      <c r="E10" s="19"/>
      <c r="F10" s="19"/>
      <c r="G10" s="19"/>
      <c r="H10" s="19"/>
      <c r="I10" s="19"/>
      <c r="J10" s="19"/>
      <c r="K10" s="19"/>
      <c r="L10" s="19"/>
      <c r="M10" s="19"/>
      <c r="N10" s="19"/>
      <c r="O10" s="19"/>
      <c r="P10" s="20"/>
      <c r="Q10" s="20"/>
      <c r="R10" s="20"/>
      <c r="S10" s="20"/>
    </row>
    <row r="11" spans="1:19" ht="13.5" customHeight="1" x14ac:dyDescent="0.2">
      <c r="A11" s="19"/>
      <c r="B11" s="19"/>
      <c r="C11" s="19"/>
      <c r="D11" s="20"/>
      <c r="E11" s="19"/>
      <c r="F11" s="19"/>
      <c r="G11" s="19"/>
      <c r="H11" s="19"/>
      <c r="I11" s="19"/>
      <c r="J11" s="19"/>
      <c r="K11" s="19"/>
      <c r="L11" s="19"/>
      <c r="M11" s="19"/>
      <c r="N11" s="19"/>
      <c r="O11" s="19"/>
      <c r="P11" s="20"/>
      <c r="Q11" s="20"/>
      <c r="R11" s="20"/>
      <c r="S11" s="20"/>
    </row>
    <row r="12" spans="1:19" x14ac:dyDescent="0.2">
      <c r="A12" s="19"/>
      <c r="B12" s="19"/>
      <c r="C12" s="19"/>
      <c r="D12" s="20"/>
      <c r="E12" s="19"/>
      <c r="F12" s="19"/>
      <c r="G12" s="19"/>
      <c r="H12" s="19"/>
      <c r="I12" s="19"/>
      <c r="J12" s="19"/>
      <c r="K12" s="19"/>
      <c r="L12" s="19"/>
      <c r="M12" s="19"/>
      <c r="N12" s="19"/>
      <c r="O12" s="19"/>
      <c r="P12" s="20"/>
      <c r="Q12" s="20"/>
      <c r="R12" s="20"/>
      <c r="S12" s="20"/>
    </row>
    <row r="13" spans="1:19" x14ac:dyDescent="0.2">
      <c r="A13" s="19"/>
      <c r="B13" s="19"/>
      <c r="C13" s="19"/>
      <c r="D13" s="20"/>
      <c r="E13" s="19"/>
      <c r="F13" s="19"/>
      <c r="G13" s="19"/>
      <c r="H13" s="19"/>
      <c r="I13" s="19"/>
      <c r="J13" s="19"/>
      <c r="K13" s="19"/>
      <c r="L13" s="19"/>
      <c r="M13" s="19"/>
      <c r="N13" s="19"/>
      <c r="O13" s="19"/>
      <c r="P13" s="20"/>
      <c r="Q13" s="20"/>
      <c r="R13" s="20"/>
      <c r="S13" s="20"/>
    </row>
    <row r="14" spans="1:19" x14ac:dyDescent="0.2">
      <c r="A14" s="19"/>
      <c r="B14" s="19"/>
      <c r="C14" s="19"/>
      <c r="D14" s="20"/>
      <c r="E14" s="19"/>
      <c r="F14" s="19"/>
      <c r="G14" s="19"/>
      <c r="H14" s="19"/>
      <c r="I14" s="19"/>
      <c r="J14" s="19"/>
      <c r="K14" s="19"/>
      <c r="L14" s="19"/>
      <c r="M14" s="19"/>
      <c r="N14" s="19"/>
      <c r="O14" s="19"/>
      <c r="P14" s="20"/>
      <c r="Q14" s="20"/>
      <c r="R14" s="20"/>
      <c r="S14" s="20"/>
    </row>
    <row r="15" spans="1:19" ht="13.5" customHeight="1" x14ac:dyDescent="0.2">
      <c r="A15" s="19"/>
      <c r="B15" s="19"/>
      <c r="C15" s="19"/>
      <c r="D15" s="20"/>
      <c r="E15" s="19"/>
      <c r="F15" s="19"/>
      <c r="G15" s="19"/>
      <c r="H15" s="19"/>
      <c r="I15" s="19"/>
      <c r="J15" s="19"/>
      <c r="K15" s="19"/>
      <c r="L15" s="19"/>
      <c r="M15" s="19"/>
      <c r="N15" s="19"/>
      <c r="O15" s="19"/>
      <c r="P15" s="20"/>
      <c r="Q15" s="20"/>
      <c r="R15" s="20"/>
      <c r="S15" s="20"/>
    </row>
    <row r="16" spans="1:19" x14ac:dyDescent="0.2">
      <c r="A16" s="19"/>
      <c r="B16" s="19"/>
      <c r="C16" s="19"/>
      <c r="D16" s="20"/>
      <c r="E16" s="19"/>
      <c r="F16" s="19"/>
      <c r="G16" s="19"/>
      <c r="H16" s="19"/>
      <c r="I16" s="19"/>
      <c r="J16" s="19"/>
      <c r="K16" s="19"/>
      <c r="L16" s="19"/>
      <c r="M16" s="19"/>
      <c r="N16" s="19"/>
      <c r="O16" s="19"/>
      <c r="P16" s="20"/>
      <c r="Q16" s="20"/>
      <c r="R16" s="20"/>
      <c r="S16" s="20"/>
    </row>
    <row r="17" spans="1:19" x14ac:dyDescent="0.2">
      <c r="A17" s="19"/>
      <c r="B17" s="19"/>
      <c r="C17" s="19"/>
      <c r="D17" s="20"/>
      <c r="E17" s="19"/>
      <c r="F17" s="19"/>
      <c r="G17" s="19"/>
      <c r="H17" s="19"/>
      <c r="I17" s="19"/>
      <c r="J17" s="19"/>
      <c r="K17" s="19"/>
      <c r="L17" s="19"/>
      <c r="M17" s="19"/>
      <c r="N17" s="19"/>
      <c r="O17" s="19"/>
      <c r="P17" s="20"/>
      <c r="Q17" s="20"/>
      <c r="R17" s="20"/>
      <c r="S17" s="20"/>
    </row>
    <row r="18" spans="1:19" x14ac:dyDescent="0.2">
      <c r="A18" s="19"/>
      <c r="B18" s="19"/>
      <c r="C18" s="19"/>
      <c r="D18" s="20"/>
      <c r="E18" s="19"/>
      <c r="F18" s="19"/>
      <c r="G18" s="19"/>
      <c r="H18" s="19"/>
      <c r="I18" s="19"/>
      <c r="J18" s="19"/>
      <c r="K18" s="19"/>
      <c r="L18" s="19"/>
      <c r="M18" s="19"/>
      <c r="N18" s="19"/>
      <c r="O18" s="19"/>
      <c r="P18" s="20"/>
      <c r="Q18" s="20"/>
      <c r="R18" s="20"/>
      <c r="S18" s="20"/>
    </row>
    <row r="19" spans="1:19" x14ac:dyDescent="0.2">
      <c r="A19" s="19"/>
      <c r="B19" s="19"/>
      <c r="C19" s="19"/>
      <c r="D19" s="20"/>
      <c r="E19" s="19"/>
      <c r="F19" s="19"/>
      <c r="G19" s="19"/>
      <c r="H19" s="19"/>
      <c r="I19" s="19"/>
      <c r="J19" s="19"/>
      <c r="K19" s="19"/>
      <c r="L19" s="19"/>
      <c r="M19" s="19"/>
      <c r="N19" s="19"/>
      <c r="O19" s="19"/>
      <c r="P19" s="20"/>
      <c r="Q19" s="20"/>
      <c r="R19" s="20"/>
      <c r="S19" s="20"/>
    </row>
    <row r="20" spans="1:19" x14ac:dyDescent="0.2">
      <c r="A20" s="19"/>
      <c r="B20" s="19"/>
      <c r="C20" s="19"/>
      <c r="D20" s="20"/>
      <c r="E20" s="19"/>
      <c r="F20" s="19"/>
      <c r="G20" s="19"/>
      <c r="H20" s="19"/>
      <c r="I20" s="19"/>
      <c r="J20" s="19"/>
      <c r="K20" s="19"/>
      <c r="L20" s="19"/>
      <c r="M20" s="19"/>
      <c r="N20" s="19"/>
      <c r="O20" s="19"/>
      <c r="P20" s="20"/>
      <c r="Q20" s="20"/>
      <c r="R20" s="20"/>
      <c r="S20" s="20"/>
    </row>
    <row r="21" spans="1:19" ht="13.5" customHeight="1" x14ac:dyDescent="0.2">
      <c r="A21" s="19"/>
      <c r="B21" s="19"/>
      <c r="C21" s="19"/>
      <c r="D21" s="20"/>
      <c r="E21" s="19"/>
      <c r="F21" s="19"/>
      <c r="G21" s="19"/>
      <c r="H21" s="19"/>
      <c r="I21" s="19"/>
      <c r="J21" s="19"/>
      <c r="K21" s="19"/>
      <c r="L21" s="19"/>
      <c r="M21" s="19"/>
      <c r="N21" s="19"/>
      <c r="O21" s="19"/>
      <c r="P21" s="20"/>
      <c r="Q21" s="20"/>
      <c r="R21" s="20"/>
      <c r="S21" s="20"/>
    </row>
    <row r="22" spans="1:19" x14ac:dyDescent="0.2">
      <c r="A22" s="19"/>
      <c r="B22" s="19"/>
      <c r="C22" s="19"/>
      <c r="D22" s="20"/>
      <c r="E22" s="19"/>
      <c r="F22" s="19"/>
      <c r="G22" s="19"/>
      <c r="H22" s="19"/>
      <c r="I22" s="19"/>
      <c r="J22" s="19"/>
      <c r="K22" s="19"/>
      <c r="L22" s="19"/>
      <c r="M22" s="19"/>
      <c r="N22" s="19"/>
      <c r="O22" s="19"/>
      <c r="P22" s="20"/>
      <c r="Q22" s="20"/>
      <c r="R22" s="20"/>
      <c r="S22" s="20"/>
    </row>
    <row r="23" spans="1:19" ht="13.5" customHeight="1" x14ac:dyDescent="0.2">
      <c r="A23" s="19"/>
      <c r="B23" s="19"/>
      <c r="C23" s="19"/>
      <c r="D23" s="20"/>
      <c r="E23" s="19"/>
      <c r="F23" s="19"/>
      <c r="G23" s="19"/>
      <c r="H23" s="19"/>
      <c r="I23" s="19"/>
      <c r="J23" s="19"/>
      <c r="K23" s="19"/>
      <c r="L23" s="19"/>
      <c r="M23" s="19"/>
      <c r="N23" s="19"/>
      <c r="O23" s="19"/>
      <c r="P23" s="20"/>
      <c r="Q23" s="20"/>
      <c r="R23" s="20"/>
      <c r="S23" s="20"/>
    </row>
    <row r="24" spans="1:19" x14ac:dyDescent="0.2">
      <c r="A24" s="19"/>
      <c r="B24" s="19"/>
      <c r="C24" s="19"/>
      <c r="D24" s="20"/>
      <c r="E24" s="19"/>
      <c r="F24" s="19"/>
      <c r="G24" s="19"/>
      <c r="H24" s="19"/>
      <c r="I24" s="19"/>
      <c r="J24" s="19"/>
      <c r="K24" s="19"/>
      <c r="L24" s="19"/>
      <c r="M24" s="19"/>
      <c r="N24" s="19"/>
      <c r="O24" s="19"/>
      <c r="P24" s="20"/>
      <c r="Q24" s="20"/>
      <c r="R24" s="20"/>
      <c r="S24" s="20"/>
    </row>
    <row r="25" spans="1:19" x14ac:dyDescent="0.2">
      <c r="A25" s="19"/>
      <c r="B25" s="19"/>
      <c r="C25" s="19"/>
      <c r="D25" s="20"/>
      <c r="E25" s="19"/>
      <c r="F25" s="19"/>
      <c r="G25" s="19"/>
      <c r="H25" s="19"/>
      <c r="I25" s="19"/>
      <c r="J25" s="19"/>
      <c r="K25" s="19"/>
      <c r="L25" s="19"/>
      <c r="M25" s="19"/>
      <c r="N25" s="19"/>
      <c r="O25" s="19"/>
      <c r="P25" s="20"/>
      <c r="Q25" s="20"/>
      <c r="R25" s="20"/>
      <c r="S25" s="20"/>
    </row>
    <row r="26" spans="1:19" x14ac:dyDescent="0.2">
      <c r="A26" s="19"/>
      <c r="B26" s="19"/>
      <c r="C26" s="19"/>
      <c r="D26" s="20"/>
      <c r="E26" s="19"/>
      <c r="F26" s="19"/>
      <c r="G26" s="19"/>
      <c r="H26" s="19"/>
      <c r="I26" s="19"/>
      <c r="J26" s="19"/>
      <c r="K26" s="19"/>
      <c r="L26" s="19"/>
      <c r="M26" s="19"/>
      <c r="N26" s="19"/>
      <c r="O26" s="19"/>
      <c r="P26" s="20"/>
      <c r="Q26" s="20"/>
      <c r="R26" s="20"/>
      <c r="S26" s="20"/>
    </row>
    <row r="27" spans="1:19" ht="13.5" customHeight="1" x14ac:dyDescent="0.2">
      <c r="A27" s="19"/>
      <c r="B27" s="19"/>
      <c r="C27" s="19"/>
      <c r="D27" s="20"/>
      <c r="E27" s="19"/>
      <c r="F27" s="19"/>
      <c r="G27" s="19"/>
      <c r="H27" s="19"/>
      <c r="I27" s="19"/>
      <c r="J27" s="19"/>
      <c r="K27" s="19"/>
      <c r="L27" s="19"/>
      <c r="M27" s="19"/>
      <c r="N27" s="19"/>
      <c r="O27" s="19"/>
      <c r="P27" s="20"/>
      <c r="Q27" s="20"/>
      <c r="R27" s="20"/>
      <c r="S27" s="20"/>
    </row>
    <row r="28" spans="1:19" x14ac:dyDescent="0.2">
      <c r="A28" s="19"/>
      <c r="B28" s="19"/>
      <c r="C28" s="19"/>
      <c r="D28" s="20"/>
      <c r="E28" s="19"/>
      <c r="F28" s="19"/>
      <c r="G28" s="19"/>
      <c r="H28" s="19"/>
      <c r="I28" s="19"/>
      <c r="J28" s="19"/>
      <c r="K28" s="19"/>
      <c r="L28" s="19"/>
      <c r="M28" s="19"/>
      <c r="N28" s="19"/>
      <c r="O28" s="19"/>
      <c r="P28" s="20"/>
      <c r="Q28" s="20"/>
      <c r="R28" s="20"/>
      <c r="S28" s="20"/>
    </row>
    <row r="29" spans="1:19" x14ac:dyDescent="0.2">
      <c r="A29" s="19"/>
      <c r="B29" s="19"/>
      <c r="C29" s="19"/>
      <c r="D29" s="20"/>
      <c r="E29" s="19"/>
      <c r="F29" s="19"/>
      <c r="G29" s="19"/>
      <c r="H29" s="19"/>
      <c r="I29" s="19"/>
      <c r="J29" s="19"/>
      <c r="K29" s="19"/>
      <c r="L29" s="19"/>
      <c r="M29" s="19"/>
      <c r="N29" s="19"/>
      <c r="O29" s="19"/>
      <c r="P29" s="20"/>
      <c r="Q29" s="20"/>
      <c r="R29" s="20"/>
      <c r="S29" s="20"/>
    </row>
    <row r="30" spans="1:19" ht="13.5" customHeight="1" x14ac:dyDescent="0.2">
      <c r="A30" s="19"/>
      <c r="B30" s="19"/>
      <c r="C30" s="19"/>
      <c r="D30" s="20"/>
      <c r="E30" s="19"/>
      <c r="F30" s="19"/>
      <c r="G30" s="19"/>
      <c r="H30" s="19"/>
      <c r="I30" s="19"/>
      <c r="J30" s="19"/>
      <c r="K30" s="19"/>
      <c r="L30" s="19"/>
      <c r="M30" s="19"/>
      <c r="N30" s="19"/>
      <c r="O30" s="19"/>
      <c r="P30" s="20"/>
      <c r="Q30" s="20"/>
      <c r="R30" s="20"/>
      <c r="S30" s="20"/>
    </row>
    <row r="31" spans="1:19" x14ac:dyDescent="0.2">
      <c r="A31" s="19"/>
      <c r="B31" s="19"/>
      <c r="C31" s="19"/>
      <c r="D31" s="20"/>
      <c r="E31" s="19"/>
      <c r="F31" s="19"/>
      <c r="G31" s="19"/>
      <c r="H31" s="19"/>
      <c r="I31" s="19"/>
      <c r="J31" s="19"/>
      <c r="K31" s="19"/>
      <c r="L31" s="19"/>
      <c r="M31" s="19"/>
      <c r="N31" s="19"/>
      <c r="O31" s="19"/>
      <c r="P31" s="20"/>
      <c r="Q31" s="20"/>
      <c r="R31" s="20"/>
      <c r="S31" s="20"/>
    </row>
    <row r="32" spans="1:19" x14ac:dyDescent="0.2">
      <c r="A32" s="19"/>
      <c r="B32" s="19"/>
      <c r="C32" s="19"/>
      <c r="D32" s="20"/>
      <c r="E32" s="19"/>
      <c r="F32" s="19"/>
      <c r="G32" s="19"/>
      <c r="H32" s="19"/>
      <c r="I32" s="19"/>
      <c r="J32" s="19"/>
      <c r="K32" s="19"/>
      <c r="L32" s="19"/>
      <c r="M32" s="19"/>
      <c r="N32" s="19"/>
      <c r="O32" s="19"/>
      <c r="P32" s="20"/>
      <c r="Q32" s="20"/>
      <c r="R32" s="20"/>
      <c r="S32" s="20"/>
    </row>
    <row r="33" spans="1:19" x14ac:dyDescent="0.2">
      <c r="A33" s="19"/>
      <c r="B33" s="19"/>
      <c r="C33" s="19"/>
      <c r="D33" s="20"/>
      <c r="E33" s="19"/>
      <c r="F33" s="19"/>
      <c r="G33" s="19"/>
      <c r="H33" s="19"/>
      <c r="I33" s="19"/>
      <c r="J33" s="19"/>
      <c r="K33" s="19"/>
      <c r="L33" s="19"/>
      <c r="M33" s="19"/>
      <c r="N33" s="19"/>
      <c r="O33" s="19"/>
      <c r="P33" s="20"/>
      <c r="Q33" s="20"/>
      <c r="R33" s="20"/>
      <c r="S33" s="20"/>
    </row>
    <row r="34" spans="1:19" ht="13.5" customHeight="1" x14ac:dyDescent="0.2">
      <c r="A34" s="19"/>
      <c r="B34" s="19"/>
      <c r="C34" s="19"/>
      <c r="D34" s="20"/>
      <c r="E34" s="19"/>
      <c r="F34" s="19"/>
      <c r="G34" s="19"/>
      <c r="H34" s="19"/>
      <c r="I34" s="19"/>
      <c r="J34" s="19"/>
      <c r="K34" s="19"/>
      <c r="L34" s="19"/>
      <c r="M34" s="19"/>
      <c r="N34" s="19"/>
      <c r="O34" s="19"/>
      <c r="P34" s="20"/>
      <c r="Q34" s="20"/>
      <c r="R34" s="20"/>
      <c r="S34" s="20"/>
    </row>
    <row r="35" spans="1:19" x14ac:dyDescent="0.2">
      <c r="A35" s="19"/>
      <c r="B35" s="19"/>
      <c r="C35" s="19"/>
      <c r="D35" s="20"/>
      <c r="E35" s="19"/>
      <c r="F35" s="19"/>
      <c r="G35" s="19"/>
      <c r="H35" s="19"/>
      <c r="I35" s="19"/>
      <c r="J35" s="19"/>
      <c r="K35" s="19"/>
      <c r="L35" s="19"/>
      <c r="M35" s="19"/>
      <c r="N35" s="19"/>
      <c r="O35" s="19"/>
      <c r="P35" s="20"/>
      <c r="Q35" s="20"/>
      <c r="R35" s="20"/>
      <c r="S35" s="20"/>
    </row>
    <row r="36" spans="1:19" x14ac:dyDescent="0.2">
      <c r="A36" s="19"/>
      <c r="B36" s="19"/>
      <c r="C36" s="19"/>
      <c r="D36" s="20"/>
      <c r="E36" s="19"/>
      <c r="F36" s="19"/>
      <c r="G36" s="19"/>
      <c r="H36" s="19"/>
      <c r="I36" s="19"/>
      <c r="J36" s="19"/>
      <c r="K36" s="19"/>
      <c r="L36" s="19"/>
      <c r="M36" s="19"/>
      <c r="N36" s="19"/>
      <c r="O36" s="19"/>
      <c r="P36" s="20"/>
      <c r="Q36" s="20"/>
      <c r="R36" s="20"/>
      <c r="S36" s="20"/>
    </row>
    <row r="37" spans="1:19" x14ac:dyDescent="0.2">
      <c r="A37" s="19"/>
      <c r="B37" s="19"/>
      <c r="C37" s="19"/>
      <c r="D37" s="20"/>
      <c r="E37" s="19"/>
      <c r="F37" s="19"/>
      <c r="G37" s="19"/>
      <c r="H37" s="19"/>
      <c r="I37" s="19"/>
      <c r="J37" s="19"/>
      <c r="K37" s="19"/>
      <c r="L37" s="19"/>
      <c r="M37" s="19"/>
      <c r="N37" s="19"/>
      <c r="O37" s="19"/>
      <c r="P37" s="20"/>
      <c r="Q37" s="20"/>
      <c r="R37" s="20"/>
      <c r="S37" s="20"/>
    </row>
    <row r="38" spans="1:19" ht="13.5" customHeight="1" x14ac:dyDescent="0.2">
      <c r="A38" s="19"/>
      <c r="B38" s="19"/>
      <c r="C38" s="19"/>
      <c r="D38" s="20"/>
      <c r="E38" s="19"/>
      <c r="F38" s="19"/>
      <c r="G38" s="19"/>
      <c r="H38" s="19"/>
      <c r="I38" s="19"/>
      <c r="J38" s="19"/>
      <c r="K38" s="19"/>
      <c r="L38" s="19"/>
      <c r="M38" s="19"/>
      <c r="N38" s="19"/>
      <c r="O38" s="19"/>
      <c r="P38" s="20"/>
      <c r="Q38" s="20"/>
      <c r="R38" s="20"/>
      <c r="S38" s="20"/>
    </row>
    <row r="39" spans="1:19" x14ac:dyDescent="0.2">
      <c r="A39" s="19"/>
      <c r="B39" s="19"/>
      <c r="C39" s="19"/>
      <c r="D39" s="20"/>
      <c r="E39" s="19"/>
      <c r="F39" s="19"/>
      <c r="G39" s="19"/>
      <c r="H39" s="19"/>
      <c r="I39" s="19"/>
      <c r="J39" s="19"/>
      <c r="K39" s="19"/>
      <c r="L39" s="19"/>
      <c r="M39" s="19"/>
      <c r="N39" s="19"/>
      <c r="O39" s="19"/>
      <c r="P39" s="20"/>
      <c r="Q39" s="20"/>
      <c r="R39" s="20"/>
      <c r="S39" s="20"/>
    </row>
    <row r="40" spans="1:19" x14ac:dyDescent="0.2">
      <c r="A40" s="19"/>
      <c r="B40" s="19"/>
      <c r="C40" s="19"/>
      <c r="D40" s="20"/>
      <c r="E40" s="19"/>
      <c r="F40" s="19"/>
      <c r="G40" s="19"/>
      <c r="H40" s="19"/>
      <c r="I40" s="19"/>
      <c r="J40" s="19"/>
      <c r="K40" s="19"/>
      <c r="L40" s="19"/>
      <c r="M40" s="19"/>
      <c r="N40" s="19"/>
      <c r="O40" s="19"/>
      <c r="P40" s="20"/>
      <c r="Q40" s="20"/>
      <c r="R40" s="20"/>
      <c r="S40" s="20"/>
    </row>
    <row r="41" spans="1:19" x14ac:dyDescent="0.2">
      <c r="A41" s="19"/>
      <c r="B41" s="19"/>
      <c r="C41" s="19"/>
      <c r="D41" s="20"/>
      <c r="E41" s="19"/>
      <c r="F41" s="19"/>
      <c r="G41" s="19"/>
      <c r="H41" s="19"/>
      <c r="I41" s="19"/>
      <c r="J41" s="19"/>
      <c r="K41" s="19"/>
      <c r="L41" s="19"/>
      <c r="M41" s="19"/>
      <c r="N41" s="19"/>
      <c r="O41" s="19"/>
      <c r="P41" s="20"/>
      <c r="Q41" s="20"/>
      <c r="R41" s="20"/>
      <c r="S41" s="20"/>
    </row>
    <row r="42" spans="1:19" x14ac:dyDescent="0.2">
      <c r="A42" s="19"/>
      <c r="B42" s="19"/>
      <c r="C42" s="19"/>
      <c r="D42" s="20"/>
      <c r="E42" s="19"/>
      <c r="F42" s="19"/>
      <c r="G42" s="19"/>
      <c r="H42" s="19"/>
      <c r="I42" s="19"/>
      <c r="J42" s="19"/>
      <c r="K42" s="19"/>
      <c r="L42" s="19"/>
      <c r="M42" s="19"/>
      <c r="N42" s="19"/>
      <c r="O42" s="19"/>
      <c r="P42" s="20"/>
      <c r="Q42" s="20"/>
      <c r="R42" s="20"/>
      <c r="S42" s="20"/>
    </row>
    <row r="43" spans="1:19" x14ac:dyDescent="0.2">
      <c r="A43" s="19"/>
      <c r="B43" s="19"/>
      <c r="C43" s="19"/>
      <c r="D43" s="20"/>
      <c r="E43" s="19"/>
      <c r="F43" s="19"/>
      <c r="G43" s="19"/>
      <c r="H43" s="19"/>
      <c r="I43" s="19"/>
      <c r="J43" s="19"/>
      <c r="K43" s="19"/>
      <c r="L43" s="19"/>
      <c r="M43" s="19"/>
      <c r="N43" s="19"/>
      <c r="O43" s="19"/>
      <c r="P43" s="20"/>
      <c r="Q43" s="20"/>
      <c r="R43" s="20"/>
      <c r="S43" s="20"/>
    </row>
    <row r="44" spans="1:19" x14ac:dyDescent="0.2">
      <c r="A44" s="19"/>
      <c r="B44" s="19"/>
      <c r="C44" s="19"/>
      <c r="D44" s="20"/>
      <c r="E44" s="19"/>
      <c r="F44" s="19"/>
      <c r="G44" s="19"/>
      <c r="H44" s="19"/>
      <c r="I44" s="19"/>
      <c r="J44" s="19"/>
      <c r="K44" s="19"/>
      <c r="L44" s="19"/>
      <c r="M44" s="19"/>
      <c r="N44" s="19"/>
      <c r="O44" s="19"/>
      <c r="P44" s="20"/>
      <c r="Q44" s="20"/>
      <c r="R44" s="20"/>
      <c r="S44" s="20"/>
    </row>
    <row r="45" spans="1:19" x14ac:dyDescent="0.2">
      <c r="A45" s="19"/>
      <c r="B45" s="19"/>
      <c r="C45" s="19"/>
      <c r="D45" s="20"/>
      <c r="E45" s="19"/>
      <c r="F45" s="19"/>
      <c r="G45" s="19"/>
      <c r="H45" s="19"/>
      <c r="I45" s="19"/>
      <c r="J45" s="19"/>
      <c r="K45" s="19"/>
      <c r="L45" s="19"/>
      <c r="M45" s="19"/>
      <c r="N45" s="19"/>
      <c r="O45" s="19"/>
      <c r="P45" s="20"/>
      <c r="Q45" s="20"/>
      <c r="R45" s="20"/>
      <c r="S45" s="20"/>
    </row>
    <row r="46" spans="1:19" x14ac:dyDescent="0.2">
      <c r="A46" s="19"/>
      <c r="B46" s="19"/>
      <c r="C46" s="19"/>
      <c r="D46" s="20"/>
      <c r="E46" s="19"/>
      <c r="F46" s="19"/>
      <c r="G46" s="19"/>
      <c r="H46" s="19"/>
      <c r="I46" s="19"/>
      <c r="J46" s="19"/>
      <c r="K46" s="19"/>
      <c r="L46" s="19"/>
      <c r="M46" s="19"/>
      <c r="N46" s="19"/>
      <c r="O46" s="19"/>
      <c r="P46" s="20"/>
      <c r="Q46" s="20"/>
      <c r="R46" s="20"/>
      <c r="S46" s="20"/>
    </row>
    <row r="47" spans="1:19" x14ac:dyDescent="0.2">
      <c r="A47" s="19"/>
      <c r="B47" s="19"/>
      <c r="C47" s="19"/>
      <c r="D47" s="20"/>
      <c r="E47" s="19"/>
      <c r="F47" s="19"/>
      <c r="G47" s="19"/>
      <c r="H47" s="19"/>
      <c r="I47" s="19"/>
      <c r="J47" s="19"/>
      <c r="K47" s="19"/>
      <c r="L47" s="19"/>
      <c r="M47" s="19"/>
      <c r="N47" s="19"/>
      <c r="O47" s="19"/>
      <c r="P47" s="20"/>
      <c r="Q47" s="20"/>
      <c r="R47" s="20"/>
      <c r="S47" s="20"/>
    </row>
    <row r="48" spans="1:19" x14ac:dyDescent="0.2">
      <c r="A48" s="19"/>
      <c r="B48" s="19"/>
      <c r="C48" s="19"/>
      <c r="D48" s="20"/>
      <c r="E48" s="19"/>
      <c r="F48" s="19"/>
      <c r="G48" s="19"/>
      <c r="H48" s="19"/>
      <c r="I48" s="19"/>
      <c r="J48" s="19"/>
      <c r="K48" s="19"/>
      <c r="L48" s="19"/>
      <c r="M48" s="19"/>
      <c r="N48" s="19"/>
      <c r="O48" s="19"/>
      <c r="P48" s="20"/>
      <c r="Q48" s="20"/>
      <c r="R48" s="20"/>
      <c r="S48" s="20"/>
    </row>
    <row r="49" spans="1:19" x14ac:dyDescent="0.2">
      <c r="A49" s="19"/>
      <c r="B49" s="19"/>
      <c r="C49" s="19"/>
      <c r="D49" s="20"/>
      <c r="E49" s="19"/>
      <c r="F49" s="19"/>
      <c r="G49" s="19"/>
      <c r="H49" s="19"/>
      <c r="I49" s="19"/>
      <c r="J49" s="19"/>
      <c r="K49" s="19"/>
      <c r="L49" s="19"/>
      <c r="M49" s="19"/>
      <c r="N49" s="19"/>
      <c r="O49" s="19"/>
      <c r="P49" s="20"/>
      <c r="Q49" s="20"/>
      <c r="R49" s="20"/>
      <c r="S49" s="20"/>
    </row>
    <row r="50" spans="1:19" x14ac:dyDescent="0.2">
      <c r="A50" s="19"/>
      <c r="B50" s="19"/>
      <c r="C50" s="19"/>
      <c r="D50" s="20"/>
      <c r="E50" s="19"/>
      <c r="F50" s="19"/>
      <c r="G50" s="19"/>
      <c r="H50" s="19"/>
      <c r="I50" s="19"/>
      <c r="J50" s="19"/>
      <c r="K50" s="19"/>
      <c r="L50" s="19"/>
      <c r="M50" s="19"/>
      <c r="N50" s="19"/>
      <c r="O50" s="19"/>
      <c r="P50" s="20"/>
      <c r="Q50" s="20"/>
      <c r="R50" s="20"/>
      <c r="S50" s="20"/>
    </row>
    <row r="51" spans="1:19" x14ac:dyDescent="0.2">
      <c r="A51" s="19"/>
      <c r="B51" s="19"/>
      <c r="C51" s="19"/>
      <c r="D51" s="20"/>
      <c r="E51" s="19"/>
      <c r="F51" s="19"/>
      <c r="G51" s="19"/>
      <c r="H51" s="19"/>
      <c r="I51" s="19"/>
      <c r="J51" s="19"/>
      <c r="K51" s="19"/>
      <c r="L51" s="19"/>
      <c r="M51" s="19"/>
      <c r="N51" s="19"/>
      <c r="O51" s="19"/>
      <c r="P51" s="20"/>
      <c r="Q51" s="20"/>
      <c r="R51" s="20"/>
      <c r="S51" s="20"/>
    </row>
    <row r="52" spans="1:19" x14ac:dyDescent="0.2">
      <c r="A52" s="19"/>
      <c r="B52" s="19"/>
      <c r="C52" s="19"/>
      <c r="D52" s="20"/>
      <c r="E52" s="19"/>
      <c r="F52" s="19"/>
      <c r="G52" s="19"/>
      <c r="H52" s="19"/>
      <c r="I52" s="19"/>
      <c r="J52" s="19"/>
      <c r="K52" s="19"/>
      <c r="L52" s="19"/>
      <c r="M52" s="19"/>
      <c r="N52" s="19"/>
      <c r="O52" s="19"/>
      <c r="P52" s="20"/>
      <c r="Q52" s="20"/>
      <c r="R52" s="20"/>
      <c r="S52" s="20"/>
    </row>
    <row r="53" spans="1:19" x14ac:dyDescent="0.2">
      <c r="A53" s="19"/>
      <c r="B53" s="19"/>
      <c r="C53" s="19"/>
      <c r="D53" s="20"/>
      <c r="E53" s="19"/>
      <c r="F53" s="19"/>
      <c r="G53" s="19"/>
      <c r="H53" s="19"/>
      <c r="I53" s="19"/>
      <c r="J53" s="19"/>
      <c r="K53" s="19"/>
      <c r="L53" s="19"/>
      <c r="M53" s="19"/>
      <c r="N53" s="19"/>
      <c r="O53" s="19"/>
      <c r="P53" s="20"/>
      <c r="Q53" s="20"/>
      <c r="R53" s="20"/>
      <c r="S53" s="20"/>
    </row>
    <row r="54" spans="1:19" x14ac:dyDescent="0.2">
      <c r="A54" s="19"/>
      <c r="B54" s="19"/>
      <c r="C54" s="19"/>
      <c r="D54" s="20"/>
      <c r="E54" s="19"/>
      <c r="F54" s="19"/>
      <c r="G54" s="19"/>
      <c r="H54" s="19"/>
      <c r="I54" s="19"/>
      <c r="J54" s="19"/>
      <c r="K54" s="19"/>
      <c r="L54" s="19"/>
      <c r="M54" s="19"/>
      <c r="N54" s="19"/>
      <c r="O54" s="19"/>
      <c r="P54" s="20"/>
      <c r="Q54" s="20"/>
      <c r="R54" s="20"/>
      <c r="S54" s="20"/>
    </row>
    <row r="55" spans="1:19" x14ac:dyDescent="0.2">
      <c r="A55" s="19"/>
      <c r="B55" s="19"/>
      <c r="C55" s="19"/>
      <c r="D55" s="20"/>
      <c r="E55" s="19"/>
      <c r="F55" s="19"/>
      <c r="G55" s="19"/>
      <c r="H55" s="19"/>
      <c r="I55" s="19"/>
      <c r="J55" s="19"/>
      <c r="K55" s="19"/>
      <c r="L55" s="19"/>
      <c r="M55" s="19"/>
      <c r="N55" s="19"/>
      <c r="O55" s="19"/>
      <c r="P55" s="20"/>
      <c r="Q55" s="20"/>
      <c r="R55" s="20"/>
      <c r="S55" s="20"/>
    </row>
    <row r="56" spans="1:19" x14ac:dyDescent="0.2">
      <c r="A56" s="19"/>
      <c r="B56" s="19"/>
      <c r="C56" s="19"/>
      <c r="D56" s="20"/>
      <c r="E56" s="19"/>
      <c r="F56" s="19"/>
      <c r="G56" s="19"/>
      <c r="H56" s="19"/>
      <c r="I56" s="19"/>
      <c r="J56" s="19"/>
      <c r="K56" s="19"/>
      <c r="L56" s="19"/>
      <c r="M56" s="19"/>
      <c r="N56" s="19"/>
      <c r="O56" s="19"/>
      <c r="P56" s="20"/>
      <c r="Q56" s="20"/>
      <c r="R56" s="20"/>
      <c r="S56" s="20"/>
    </row>
    <row r="57" spans="1:19" x14ac:dyDescent="0.2">
      <c r="A57" s="19"/>
      <c r="B57" s="19"/>
      <c r="C57" s="19"/>
      <c r="D57" s="20"/>
      <c r="E57" s="19"/>
      <c r="F57" s="19"/>
      <c r="G57" s="19"/>
      <c r="H57" s="19"/>
      <c r="I57" s="19"/>
      <c r="J57" s="19"/>
      <c r="K57" s="19"/>
      <c r="L57" s="19"/>
      <c r="M57" s="19"/>
      <c r="N57" s="19"/>
      <c r="O57" s="19"/>
      <c r="P57" s="20"/>
      <c r="Q57" s="20"/>
      <c r="R57" s="20"/>
      <c r="S57" s="20"/>
    </row>
    <row r="58" spans="1:19" x14ac:dyDescent="0.2">
      <c r="A58" s="19"/>
      <c r="B58" s="19"/>
      <c r="C58" s="19"/>
      <c r="D58" s="20"/>
      <c r="E58" s="19"/>
      <c r="F58" s="19"/>
      <c r="G58" s="19"/>
      <c r="H58" s="19"/>
      <c r="I58" s="19"/>
      <c r="J58" s="19"/>
      <c r="K58" s="19"/>
      <c r="L58" s="19"/>
      <c r="M58" s="19"/>
      <c r="N58" s="19"/>
      <c r="O58" s="19"/>
      <c r="P58" s="20"/>
      <c r="Q58" s="20"/>
      <c r="R58" s="20"/>
      <c r="S58" s="20"/>
    </row>
    <row r="59" spans="1:19" x14ac:dyDescent="0.2">
      <c r="A59" s="19"/>
      <c r="B59" s="19"/>
      <c r="C59" s="19"/>
      <c r="D59" s="20"/>
      <c r="E59" s="19"/>
      <c r="F59" s="19"/>
      <c r="G59" s="19"/>
      <c r="H59" s="19"/>
      <c r="I59" s="19"/>
      <c r="J59" s="19"/>
      <c r="K59" s="19"/>
      <c r="L59" s="19"/>
      <c r="M59" s="19"/>
      <c r="N59" s="19"/>
      <c r="O59" s="19"/>
      <c r="P59" s="20"/>
      <c r="Q59" s="20"/>
      <c r="R59" s="20"/>
      <c r="S59" s="20"/>
    </row>
    <row r="60" spans="1:19" x14ac:dyDescent="0.2">
      <c r="A60" s="19"/>
      <c r="B60" s="19"/>
      <c r="C60" s="19"/>
      <c r="D60" s="20"/>
      <c r="E60" s="19"/>
      <c r="F60" s="19"/>
      <c r="G60" s="19"/>
      <c r="H60" s="19"/>
      <c r="I60" s="19"/>
      <c r="J60" s="19"/>
      <c r="K60" s="19"/>
      <c r="L60" s="19"/>
      <c r="M60" s="19"/>
      <c r="N60" s="19"/>
      <c r="O60" s="19"/>
      <c r="P60" s="20"/>
      <c r="Q60" s="20"/>
      <c r="R60" s="20"/>
      <c r="S60" s="20"/>
    </row>
    <row r="61" spans="1:19" x14ac:dyDescent="0.2">
      <c r="A61" s="19"/>
      <c r="B61" s="19"/>
      <c r="C61" s="19"/>
      <c r="D61" s="20"/>
      <c r="E61" s="19"/>
      <c r="F61" s="19"/>
      <c r="G61" s="19"/>
      <c r="H61" s="19"/>
      <c r="I61" s="19"/>
      <c r="J61" s="19"/>
      <c r="K61" s="19"/>
      <c r="L61" s="19"/>
      <c r="M61" s="19"/>
      <c r="N61" s="19"/>
      <c r="O61" s="19"/>
      <c r="P61" s="20"/>
      <c r="Q61" s="20"/>
      <c r="R61" s="20"/>
      <c r="S61" s="20"/>
    </row>
    <row r="62" spans="1:19" x14ac:dyDescent="0.2">
      <c r="A62" s="19"/>
      <c r="B62" s="19"/>
      <c r="C62" s="19"/>
      <c r="D62" s="20"/>
      <c r="E62" s="19"/>
      <c r="F62" s="19"/>
      <c r="G62" s="19"/>
      <c r="H62" s="19"/>
      <c r="I62" s="19"/>
      <c r="J62" s="19"/>
      <c r="K62" s="19"/>
      <c r="L62" s="19"/>
      <c r="M62" s="19"/>
      <c r="N62" s="19"/>
      <c r="O62" s="19"/>
      <c r="P62" s="20"/>
      <c r="Q62" s="20"/>
      <c r="R62" s="20"/>
      <c r="S62" s="20"/>
    </row>
    <row r="63" spans="1:19" x14ac:dyDescent="0.2">
      <c r="A63" s="19"/>
      <c r="B63" s="19"/>
      <c r="C63" s="19"/>
      <c r="D63" s="20"/>
      <c r="E63" s="19"/>
      <c r="F63" s="19"/>
      <c r="G63" s="19"/>
      <c r="H63" s="19"/>
      <c r="I63" s="19"/>
      <c r="J63" s="19"/>
      <c r="K63" s="19"/>
      <c r="L63" s="19"/>
      <c r="M63" s="19"/>
      <c r="N63" s="19"/>
      <c r="O63" s="19"/>
      <c r="P63" s="20"/>
      <c r="Q63" s="20"/>
      <c r="R63" s="20"/>
      <c r="S63" s="20"/>
    </row>
  </sheetData>
  <phoneticPr fontId="1" type="noConversion"/>
  <dataValidations count="4">
    <dataValidation type="list" allowBlank="1" showInputMessage="1" showErrorMessage="1" sqref="H2:H63">
      <formula1>"已提交,已关闭"</formula1>
    </dataValidation>
    <dataValidation type="list" allowBlank="1" showInputMessage="1" showErrorMessage="1" sqref="M2:M63">
      <formula1>"是,否"</formula1>
    </dataValidation>
    <dataValidation type="list" allowBlank="1" showInputMessage="1" showErrorMessage="1" sqref="I2:J63">
      <formula1>"10,9,8,7,6,5,4,3,2,1"</formula1>
    </dataValidation>
    <dataValidation type="list" allowBlank="1" showInputMessage="1" showErrorMessage="1" sqref="O2:O63">
      <formula1>版本名称</formula1>
    </dataValidation>
  </dataValidations>
  <pageMargins left="0.75" right="0.75" top="1" bottom="1" header="0.5" footer="0.5"/>
  <headerFooter alignWithMargins="0"/>
  <legacyDrawing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dimension ref="B1:G30"/>
  <sheetViews>
    <sheetView topLeftCell="B19" workbookViewId="0">
      <selection activeCell="L28" sqref="L28"/>
    </sheetView>
  </sheetViews>
  <sheetFormatPr defaultColWidth="4.5703125" defaultRowHeight="12.75" x14ac:dyDescent="0.2"/>
  <cols>
    <col min="1" max="1" width="0" style="163" hidden="1" customWidth="1"/>
    <col min="2" max="3" width="18.7109375" style="163" customWidth="1"/>
    <col min="4" max="4" width="48.7109375" style="163" customWidth="1"/>
    <col min="5" max="7" width="12.7109375" style="163" customWidth="1"/>
    <col min="8" max="16384" width="4.5703125" style="163"/>
  </cols>
  <sheetData>
    <row r="1" spans="2:7" hidden="1" x14ac:dyDescent="0.2"/>
    <row r="2" spans="2:7" ht="18" x14ac:dyDescent="0.2">
      <c r="B2" s="242" t="s">
        <v>345</v>
      </c>
      <c r="C2" s="242"/>
      <c r="D2" s="242"/>
      <c r="E2" s="242"/>
      <c r="F2" s="242"/>
      <c r="G2" s="242"/>
    </row>
    <row r="3" spans="2:7" ht="125.25" customHeight="1" x14ac:dyDescent="0.2">
      <c r="B3" s="243" t="s">
        <v>344</v>
      </c>
      <c r="C3" s="243"/>
      <c r="D3" s="243"/>
      <c r="E3" s="243"/>
      <c r="F3" s="243"/>
      <c r="G3" s="243"/>
    </row>
    <row r="4" spans="2:7" ht="13.5" customHeight="1" x14ac:dyDescent="0.2">
      <c r="B4" s="185"/>
      <c r="C4" s="186"/>
      <c r="D4" s="244"/>
      <c r="E4" s="245"/>
      <c r="F4" s="245"/>
      <c r="G4" s="246"/>
    </row>
    <row r="5" spans="2:7" ht="14.25" x14ac:dyDescent="0.3">
      <c r="B5" s="187" t="s">
        <v>280</v>
      </c>
      <c r="C5" s="176" t="s">
        <v>266</v>
      </c>
      <c r="D5" s="188"/>
      <c r="E5" s="189"/>
      <c r="F5" s="189"/>
      <c r="G5" s="190"/>
    </row>
    <row r="6" spans="2:7" ht="14.25" customHeight="1" x14ac:dyDescent="0.3">
      <c r="B6" s="182" t="s">
        <v>281</v>
      </c>
      <c r="C6" s="191">
        <f>COUNTIF(ISR清单!I4:I47,"待分析")</f>
        <v>0</v>
      </c>
      <c r="D6" s="188"/>
      <c r="E6" s="189"/>
      <c r="F6" s="189"/>
      <c r="G6" s="190"/>
    </row>
    <row r="7" spans="2:7" ht="14.25" customHeight="1" x14ac:dyDescent="0.3">
      <c r="B7" s="182" t="s">
        <v>282</v>
      </c>
      <c r="C7" s="191">
        <f>COUNTIF(ISR清单!I4:I47,"待排期")</f>
        <v>3</v>
      </c>
      <c r="D7" s="188"/>
      <c r="E7" s="189"/>
      <c r="F7" s="189"/>
      <c r="G7" s="190"/>
    </row>
    <row r="8" spans="2:7" ht="14.25" customHeight="1" x14ac:dyDescent="0.3">
      <c r="B8" s="182" t="s">
        <v>283</v>
      </c>
      <c r="C8" s="191">
        <f>COUNTIF(ISR清单!I4:I47,"已挂起")</f>
        <v>0</v>
      </c>
      <c r="D8" s="188"/>
      <c r="E8" s="189"/>
      <c r="F8" s="189"/>
      <c r="G8" s="190"/>
    </row>
    <row r="9" spans="2:7" ht="14.25" customHeight="1" x14ac:dyDescent="0.3">
      <c r="B9" s="182" t="s">
        <v>284</v>
      </c>
      <c r="C9" s="191">
        <f>本月退回ISR清单!C5</f>
        <v>0</v>
      </c>
      <c r="D9" s="188"/>
      <c r="E9" s="189"/>
      <c r="F9" s="189"/>
      <c r="G9" s="190"/>
    </row>
    <row r="10" spans="2:7" s="171" customFormat="1" ht="12.75" customHeight="1" x14ac:dyDescent="0.2">
      <c r="B10" s="216" t="s">
        <v>285</v>
      </c>
      <c r="C10" s="192"/>
      <c r="D10" s="193"/>
      <c r="E10" s="189"/>
      <c r="F10" s="189"/>
      <c r="G10" s="190"/>
    </row>
    <row r="11" spans="2:7" ht="14.25" customHeight="1" x14ac:dyDescent="0.2">
      <c r="B11" s="194"/>
      <c r="C11" s="195"/>
      <c r="D11" s="195"/>
      <c r="E11" s="196"/>
      <c r="F11" s="196"/>
      <c r="G11" s="197"/>
    </row>
    <row r="12" spans="2:7" ht="14.25" x14ac:dyDescent="0.3">
      <c r="B12" s="178" t="s">
        <v>286</v>
      </c>
      <c r="C12" s="178" t="s">
        <v>287</v>
      </c>
      <c r="D12" s="178" t="s">
        <v>288</v>
      </c>
      <c r="E12" s="177"/>
      <c r="F12" s="175"/>
      <c r="G12" s="198"/>
    </row>
    <row r="13" spans="2:7" ht="28.5" x14ac:dyDescent="0.3">
      <c r="B13" s="199" t="s">
        <v>289</v>
      </c>
      <c r="C13" s="200">
        <v>43405</v>
      </c>
      <c r="D13" s="200">
        <v>43405</v>
      </c>
      <c r="E13" s="201"/>
      <c r="F13" s="189"/>
      <c r="G13" s="190"/>
    </row>
    <row r="14" spans="2:7" ht="14.25" x14ac:dyDescent="0.3">
      <c r="B14" s="202" t="s">
        <v>290</v>
      </c>
      <c r="C14" s="200">
        <v>43403</v>
      </c>
      <c r="D14" s="200">
        <v>43409</v>
      </c>
      <c r="E14" s="188"/>
      <c r="F14" s="189"/>
      <c r="G14" s="190"/>
    </row>
    <row r="15" spans="2:7" ht="14.25" x14ac:dyDescent="0.3">
      <c r="B15" s="199" t="s">
        <v>291</v>
      </c>
      <c r="C15" s="200">
        <v>43406</v>
      </c>
      <c r="D15" s="200">
        <v>43409</v>
      </c>
      <c r="E15" s="201"/>
      <c r="F15" s="189"/>
      <c r="G15" s="190"/>
    </row>
    <row r="16" spans="2:7" ht="14.25" x14ac:dyDescent="0.3">
      <c r="B16" s="202" t="s">
        <v>292</v>
      </c>
      <c r="C16" s="200">
        <v>43410</v>
      </c>
      <c r="D16" s="200">
        <v>43410</v>
      </c>
      <c r="E16" s="201"/>
      <c r="F16" s="189"/>
      <c r="G16" s="190"/>
    </row>
    <row r="17" spans="2:7" ht="14.25" x14ac:dyDescent="0.2">
      <c r="B17" s="216" t="s">
        <v>293</v>
      </c>
      <c r="C17" s="217"/>
      <c r="D17" s="217"/>
      <c r="E17" s="217"/>
      <c r="F17" s="217"/>
      <c r="G17" s="218"/>
    </row>
    <row r="18" spans="2:7" ht="28.5" x14ac:dyDescent="0.2">
      <c r="B18" s="179" t="s">
        <v>187</v>
      </c>
      <c r="C18" s="180" t="s">
        <v>44</v>
      </c>
      <c r="D18" s="179" t="s">
        <v>46</v>
      </c>
      <c r="E18" s="179" t="s">
        <v>48</v>
      </c>
      <c r="F18" s="181" t="s">
        <v>294</v>
      </c>
      <c r="G18" s="179" t="s">
        <v>188</v>
      </c>
    </row>
    <row r="19" spans="2:7" x14ac:dyDescent="0.2">
      <c r="B19" s="184" t="s">
        <v>313</v>
      </c>
      <c r="C19" s="205">
        <v>43391</v>
      </c>
      <c r="D19" s="184" t="s">
        <v>314</v>
      </c>
      <c r="E19" s="184" t="s">
        <v>315</v>
      </c>
      <c r="F19" s="184" t="s">
        <v>260</v>
      </c>
      <c r="G19" s="184"/>
    </row>
    <row r="20" spans="2:7" x14ac:dyDescent="0.2">
      <c r="B20" s="184" t="s">
        <v>268</v>
      </c>
      <c r="C20" s="205">
        <v>43347</v>
      </c>
      <c r="D20" s="184" t="s">
        <v>270</v>
      </c>
      <c r="E20" s="184" t="s">
        <v>275</v>
      </c>
      <c r="F20" s="184" t="s">
        <v>260</v>
      </c>
      <c r="G20" s="184"/>
    </row>
    <row r="21" spans="2:7" ht="14.25" x14ac:dyDescent="0.2">
      <c r="B21" s="247" t="s">
        <v>295</v>
      </c>
      <c r="C21" s="248"/>
      <c r="D21" s="248"/>
      <c r="E21" s="248"/>
      <c r="F21" s="248"/>
      <c r="G21" s="249"/>
    </row>
    <row r="22" spans="2:7" ht="25.5" customHeight="1" x14ac:dyDescent="0.2">
      <c r="B22" s="179" t="s">
        <v>296</v>
      </c>
      <c r="C22" s="179" t="s">
        <v>297</v>
      </c>
      <c r="D22" s="179" t="s">
        <v>298</v>
      </c>
      <c r="E22" s="179" t="s">
        <v>48</v>
      </c>
      <c r="F22" s="179" t="s">
        <v>299</v>
      </c>
      <c r="G22" s="179" t="s">
        <v>188</v>
      </c>
    </row>
    <row r="23" spans="2:7" x14ac:dyDescent="0.2">
      <c r="B23" s="126"/>
      <c r="C23" s="125"/>
      <c r="D23" s="126"/>
      <c r="E23" s="124"/>
      <c r="F23" s="126"/>
      <c r="G23" s="126"/>
    </row>
    <row r="24" spans="2:7" x14ac:dyDescent="0.2">
      <c r="B24" s="126"/>
      <c r="C24" s="125"/>
      <c r="D24" s="126"/>
      <c r="E24" s="124"/>
      <c r="F24" s="126"/>
      <c r="G24" s="126"/>
    </row>
    <row r="25" spans="2:7" ht="14.25" x14ac:dyDescent="0.2">
      <c r="B25" s="247" t="s">
        <v>301</v>
      </c>
      <c r="C25" s="248"/>
      <c r="D25" s="248"/>
      <c r="E25" s="248"/>
      <c r="F25" s="248"/>
      <c r="G25" s="249"/>
    </row>
    <row r="26" spans="2:7" ht="14.25" x14ac:dyDescent="0.2">
      <c r="B26" s="179" t="s">
        <v>302</v>
      </c>
      <c r="C26" s="179" t="s">
        <v>280</v>
      </c>
      <c r="D26" s="179" t="s">
        <v>303</v>
      </c>
      <c r="E26" s="250" t="s">
        <v>304</v>
      </c>
      <c r="F26" s="251"/>
      <c r="G26" s="179" t="s">
        <v>305</v>
      </c>
    </row>
    <row r="27" spans="2:7" x14ac:dyDescent="0.2">
      <c r="B27" s="220"/>
      <c r="C27" s="220"/>
      <c r="D27" s="219"/>
      <c r="E27" s="252"/>
      <c r="F27" s="253"/>
      <c r="G27" s="211"/>
    </row>
    <row r="28" spans="2:7" x14ac:dyDescent="0.2">
      <c r="B28" s="220"/>
      <c r="C28" s="220"/>
      <c r="D28" s="219"/>
      <c r="E28" s="254"/>
      <c r="F28" s="255"/>
      <c r="G28" s="211"/>
    </row>
    <row r="29" spans="2:7" x14ac:dyDescent="0.2">
      <c r="B29" s="215"/>
      <c r="C29" s="215"/>
      <c r="D29" s="215"/>
      <c r="E29" s="240"/>
      <c r="F29" s="237"/>
      <c r="G29" s="215"/>
    </row>
    <row r="30" spans="2:7" ht="88.5" customHeight="1" x14ac:dyDescent="0.2">
      <c r="B30" s="212" t="s">
        <v>309</v>
      </c>
      <c r="C30" s="256" t="s">
        <v>310</v>
      </c>
      <c r="D30" s="256"/>
      <c r="E30" s="256"/>
      <c r="F30" s="256"/>
      <c r="G30" s="256"/>
    </row>
  </sheetData>
  <mergeCells count="10">
    <mergeCell ref="E27:F27"/>
    <mergeCell ref="E28:F28"/>
    <mergeCell ref="E29:F29"/>
    <mergeCell ref="C30:G30"/>
    <mergeCell ref="B2:G2"/>
    <mergeCell ref="B3:G3"/>
    <mergeCell ref="D4:G4"/>
    <mergeCell ref="B21:G21"/>
    <mergeCell ref="B25:G25"/>
    <mergeCell ref="E26:F26"/>
  </mergeCells>
  <phoneticPr fontId="1" type="noConversion"/>
  <dataValidations count="1">
    <dataValidation type="list" allowBlank="1" showInputMessage="1" showErrorMessage="1" sqref="C5">
      <formula1>版本名称</formula1>
    </dataValidation>
  </dataValidations>
  <pageMargins left="0.75" right="0.75" top="1" bottom="1" header="0.5" footer="0.5"/>
  <pageSetup paperSize="9" orientation="portrait" horizontalDpi="300" verticalDpi="300" r:id="rId1"/>
  <headerFooter alignWithMargins="0"/>
  <drawing r:id="rId2"/>
  <legacyDrawing r:id="rId3"/>
  <controls>
    <mc:AlternateContent xmlns:mc="http://schemas.openxmlformats.org/markup-compatibility/2006">
      <mc:Choice Requires="x14">
        <control shapeId="102401" r:id="rId4" name="CommandButton1">
          <controlPr autoLine="0" r:id="rId5">
            <anchor moveWithCells="1">
              <from>
                <xdr:col>10</xdr:col>
                <xdr:colOff>9525</xdr:colOff>
                <xdr:row>1</xdr:row>
                <xdr:rowOff>0</xdr:rowOff>
              </from>
              <to>
                <xdr:col>13</xdr:col>
                <xdr:colOff>171450</xdr:colOff>
                <xdr:row>2</xdr:row>
                <xdr:rowOff>57150</xdr:rowOff>
              </to>
            </anchor>
          </controlPr>
        </control>
      </mc:Choice>
      <mc:Fallback>
        <control shapeId="102401" r:id="rId4" name="CommandButton1"/>
      </mc:Fallback>
    </mc:AlternateContent>
  </control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B2:G30"/>
  <sheetViews>
    <sheetView topLeftCell="B1" workbookViewId="0">
      <selection activeCell="L2" sqref="L2"/>
    </sheetView>
  </sheetViews>
  <sheetFormatPr defaultColWidth="4.5703125" defaultRowHeight="12.75" x14ac:dyDescent="0.2"/>
  <cols>
    <col min="1" max="1" width="0" hidden="1" customWidth="1"/>
    <col min="2" max="3" width="18.7109375" customWidth="1"/>
    <col min="4" max="4" width="48.7109375" customWidth="1"/>
    <col min="5" max="7" width="12.7109375" customWidth="1"/>
  </cols>
  <sheetData>
    <row r="2" spans="2:7" ht="37.5" customHeight="1" x14ac:dyDescent="0.2">
      <c r="B2" s="242" t="s">
        <v>312</v>
      </c>
      <c r="C2" s="242"/>
      <c r="D2" s="242"/>
      <c r="E2" s="242"/>
      <c r="F2" s="242"/>
      <c r="G2" s="242"/>
    </row>
    <row r="3" spans="2:7" ht="125.25" customHeight="1" x14ac:dyDescent="0.2">
      <c r="B3" s="243" t="s">
        <v>279</v>
      </c>
      <c r="C3" s="243"/>
      <c r="D3" s="243"/>
      <c r="E3" s="243"/>
      <c r="F3" s="243"/>
      <c r="G3" s="243"/>
    </row>
    <row r="4" spans="2:7" ht="13.5" customHeight="1" x14ac:dyDescent="0.2">
      <c r="B4" s="81"/>
      <c r="C4" s="82"/>
      <c r="D4" s="244"/>
      <c r="E4" s="245"/>
      <c r="F4" s="245"/>
      <c r="G4" s="246"/>
    </row>
    <row r="5" spans="2:7" ht="14.25" x14ac:dyDescent="0.3">
      <c r="B5" s="83" t="s">
        <v>14</v>
      </c>
      <c r="C5" s="72" t="s">
        <v>266</v>
      </c>
      <c r="D5" s="84"/>
      <c r="E5" s="85"/>
      <c r="F5" s="85"/>
      <c r="G5" s="86"/>
    </row>
    <row r="6" spans="2:7" ht="14.25" customHeight="1" x14ac:dyDescent="0.3">
      <c r="B6" s="78" t="s">
        <v>154</v>
      </c>
      <c r="C6" s="87">
        <f>COUNTIF(ISR清单!I4:I47,"待分析")</f>
        <v>0</v>
      </c>
      <c r="D6" s="84"/>
      <c r="E6" s="85"/>
      <c r="F6" s="85"/>
      <c r="G6" s="86"/>
    </row>
    <row r="7" spans="2:7" ht="14.25" customHeight="1" x14ac:dyDescent="0.3">
      <c r="B7" s="78" t="s">
        <v>146</v>
      </c>
      <c r="C7" s="87">
        <f>COUNTIF(ISR清单!I4:I47,"待排期")</f>
        <v>3</v>
      </c>
      <c r="D7" s="84"/>
      <c r="E7" s="85"/>
      <c r="F7" s="85"/>
      <c r="G7" s="86"/>
    </row>
    <row r="8" spans="2:7" ht="14.25" customHeight="1" x14ac:dyDescent="0.3">
      <c r="B8" s="78" t="s">
        <v>147</v>
      </c>
      <c r="C8" s="87">
        <f>COUNTIF(ISR清单!I4:I47,"已挂起")</f>
        <v>0</v>
      </c>
      <c r="D8" s="84"/>
      <c r="E8" s="85"/>
      <c r="F8" s="85"/>
      <c r="G8" s="86"/>
    </row>
    <row r="9" spans="2:7" ht="14.25" customHeight="1" x14ac:dyDescent="0.3">
      <c r="B9" s="78" t="s">
        <v>148</v>
      </c>
      <c r="C9" s="87"/>
      <c r="D9" s="84"/>
      <c r="E9" s="85"/>
      <c r="F9" s="85"/>
      <c r="G9" s="86"/>
    </row>
    <row r="10" spans="2:7" s="50" customFormat="1" ht="12.75" customHeight="1" x14ac:dyDescent="0.2">
      <c r="B10" s="69" t="s">
        <v>17</v>
      </c>
      <c r="C10" s="88"/>
      <c r="D10" s="89"/>
      <c r="E10" s="85"/>
      <c r="F10" s="85"/>
      <c r="G10" s="86"/>
    </row>
    <row r="11" spans="2:7" ht="14.25" customHeight="1" x14ac:dyDescent="0.2">
      <c r="B11" s="90"/>
      <c r="C11" s="91"/>
      <c r="D11" s="91"/>
      <c r="E11" s="92"/>
      <c r="F11" s="92"/>
      <c r="G11" s="93"/>
    </row>
    <row r="12" spans="2:7" ht="14.25" x14ac:dyDescent="0.3">
      <c r="B12" s="74" t="s">
        <v>18</v>
      </c>
      <c r="C12" s="74" t="s">
        <v>59</v>
      </c>
      <c r="D12" s="74" t="s">
        <v>58</v>
      </c>
      <c r="E12" s="73"/>
      <c r="F12" s="70"/>
      <c r="G12" s="94"/>
    </row>
    <row r="13" spans="2:7" ht="28.5" x14ac:dyDescent="0.3">
      <c r="B13" s="95" t="s">
        <v>75</v>
      </c>
      <c r="C13" s="96">
        <v>43391</v>
      </c>
      <c r="D13" s="96">
        <v>43391</v>
      </c>
      <c r="E13" s="97"/>
      <c r="F13" s="85"/>
      <c r="G13" s="86"/>
    </row>
    <row r="14" spans="2:7" ht="14.25" x14ac:dyDescent="0.3">
      <c r="B14" s="98" t="s">
        <v>74</v>
      </c>
      <c r="C14" s="96">
        <v>43391</v>
      </c>
      <c r="D14" s="96">
        <v>43395</v>
      </c>
      <c r="E14" s="84"/>
      <c r="F14" s="85"/>
      <c r="G14" s="86"/>
    </row>
    <row r="15" spans="2:7" ht="14.25" x14ac:dyDescent="0.3">
      <c r="B15" s="95" t="s">
        <v>73</v>
      </c>
      <c r="C15" s="96">
        <v>43391</v>
      </c>
      <c r="D15" s="96">
        <v>43395</v>
      </c>
      <c r="E15" s="97"/>
      <c r="F15" s="85"/>
      <c r="G15" s="86"/>
    </row>
    <row r="16" spans="2:7" ht="14.25" x14ac:dyDescent="0.3">
      <c r="B16" s="98" t="s">
        <v>19</v>
      </c>
      <c r="C16" s="96">
        <v>43398</v>
      </c>
      <c r="D16" s="96">
        <v>43398</v>
      </c>
      <c r="E16" s="97"/>
      <c r="F16" s="85"/>
      <c r="G16" s="86"/>
    </row>
    <row r="17" spans="2:7" ht="14.25" x14ac:dyDescent="0.2">
      <c r="B17" s="99" t="s">
        <v>68</v>
      </c>
      <c r="C17" s="79"/>
      <c r="D17" s="79"/>
      <c r="E17" s="79"/>
      <c r="F17" s="79"/>
      <c r="G17" s="100"/>
    </row>
    <row r="18" spans="2:7" ht="28.5" x14ac:dyDescent="0.2">
      <c r="B18" s="75" t="s">
        <v>187</v>
      </c>
      <c r="C18" s="76" t="s">
        <v>44</v>
      </c>
      <c r="D18" s="75" t="s">
        <v>46</v>
      </c>
      <c r="E18" s="75" t="s">
        <v>48</v>
      </c>
      <c r="F18" s="77" t="s">
        <v>189</v>
      </c>
      <c r="G18" s="75" t="s">
        <v>188</v>
      </c>
    </row>
    <row r="19" spans="2:7" ht="43.5" customHeight="1" x14ac:dyDescent="0.2">
      <c r="B19" s="80" t="s">
        <v>268</v>
      </c>
      <c r="C19" s="101">
        <v>43347</v>
      </c>
      <c r="D19" s="80" t="s">
        <v>270</v>
      </c>
      <c r="E19" s="80" t="s">
        <v>275</v>
      </c>
      <c r="F19" s="80" t="s">
        <v>260</v>
      </c>
      <c r="G19" s="80"/>
    </row>
    <row r="20" spans="2:7" ht="43.5" customHeight="1" x14ac:dyDescent="0.2">
      <c r="B20" s="119"/>
      <c r="C20" s="120"/>
      <c r="D20" s="121"/>
      <c r="E20" s="121"/>
      <c r="F20" s="121"/>
      <c r="G20" s="122"/>
    </row>
    <row r="21" spans="2:7" ht="43.5" customHeight="1" x14ac:dyDescent="0.2">
      <c r="B21" s="119"/>
      <c r="C21" s="120"/>
      <c r="D21" s="121"/>
      <c r="E21" s="121"/>
      <c r="F21" s="121"/>
      <c r="G21" s="122"/>
    </row>
    <row r="22" spans="2:7" ht="25.5" customHeight="1" x14ac:dyDescent="0.2">
      <c r="B22" s="247" t="s">
        <v>69</v>
      </c>
      <c r="C22" s="248"/>
      <c r="D22" s="248"/>
      <c r="E22" s="248"/>
      <c r="F22" s="248"/>
      <c r="G22" s="249"/>
    </row>
    <row r="23" spans="2:7" ht="28.5" x14ac:dyDescent="0.2">
      <c r="B23" s="75" t="s">
        <v>51</v>
      </c>
      <c r="C23" s="75" t="s">
        <v>52</v>
      </c>
      <c r="D23" s="75" t="s">
        <v>54</v>
      </c>
      <c r="E23" s="75" t="s">
        <v>102</v>
      </c>
      <c r="F23" s="75" t="s">
        <v>99</v>
      </c>
      <c r="G23" s="75" t="s">
        <v>49</v>
      </c>
    </row>
    <row r="24" spans="2:7" ht="14.25" x14ac:dyDescent="0.3">
      <c r="B24" s="78"/>
      <c r="C24" s="96"/>
      <c r="D24" s="78"/>
      <c r="E24" s="87"/>
      <c r="F24" s="78"/>
      <c r="G24" s="78"/>
    </row>
    <row r="25" spans="2:7" ht="14.25" x14ac:dyDescent="0.3">
      <c r="B25" s="78"/>
      <c r="C25" s="96"/>
      <c r="D25" s="78"/>
      <c r="E25" s="87"/>
      <c r="F25" s="78"/>
      <c r="G25" s="78"/>
    </row>
    <row r="26" spans="2:7" ht="14.25" x14ac:dyDescent="0.3">
      <c r="B26" s="113"/>
      <c r="C26" s="114"/>
      <c r="D26" s="115"/>
      <c r="E26" s="116"/>
      <c r="F26" s="115"/>
      <c r="G26" s="117"/>
    </row>
    <row r="27" spans="2:7" ht="23.25" customHeight="1" x14ac:dyDescent="0.2">
      <c r="B27" s="247" t="s">
        <v>70</v>
      </c>
      <c r="C27" s="248"/>
      <c r="D27" s="248"/>
      <c r="E27" s="248"/>
      <c r="F27" s="248"/>
      <c r="G27" s="249"/>
    </row>
    <row r="28" spans="2:7" ht="14.25" x14ac:dyDescent="0.2">
      <c r="B28" s="75" t="s">
        <v>67</v>
      </c>
      <c r="C28" s="75" t="s">
        <v>14</v>
      </c>
      <c r="D28" s="75" t="s">
        <v>66</v>
      </c>
      <c r="E28" s="250" t="s">
        <v>97</v>
      </c>
      <c r="F28" s="251"/>
      <c r="G28" s="75" t="s">
        <v>16</v>
      </c>
    </row>
    <row r="29" spans="2:7" x14ac:dyDescent="0.2">
      <c r="B29" s="55" t="s">
        <v>261</v>
      </c>
      <c r="C29" s="55"/>
      <c r="D29" s="123">
        <v>43291</v>
      </c>
      <c r="E29" s="240" t="s">
        <v>262</v>
      </c>
      <c r="F29" s="237"/>
      <c r="G29" s="55"/>
    </row>
    <row r="30" spans="2:7" ht="88.5" customHeight="1" x14ac:dyDescent="0.2">
      <c r="B30" s="105" t="s">
        <v>62</v>
      </c>
      <c r="C30" s="241" t="s">
        <v>210</v>
      </c>
      <c r="D30" s="241"/>
      <c r="E30" s="241"/>
      <c r="F30" s="241"/>
      <c r="G30" s="241"/>
    </row>
  </sheetData>
  <mergeCells count="8">
    <mergeCell ref="E29:F29"/>
    <mergeCell ref="C30:G30"/>
    <mergeCell ref="B2:G2"/>
    <mergeCell ref="B3:G3"/>
    <mergeCell ref="D4:G4"/>
    <mergeCell ref="B22:G22"/>
    <mergeCell ref="B27:G27"/>
    <mergeCell ref="E28:F28"/>
  </mergeCells>
  <phoneticPr fontId="66" type="noConversion"/>
  <dataValidations count="1">
    <dataValidation type="list" allowBlank="1" showInputMessage="1" showErrorMessage="1" sqref="C5">
      <formula1>版本名称</formula1>
    </dataValidation>
  </dataValidations>
  <pageMargins left="0.75" right="0.75" top="1" bottom="1" header="0.5" footer="0.5"/>
  <pageSetup paperSize="9" orientation="portrait" horizontalDpi="300" verticalDpi="300" r:id="rId1"/>
  <headerFooter alignWithMargins="0"/>
  <drawing r:id="rId2"/>
  <legacyDrawing r:id="rId3"/>
  <controls>
    <mc:AlternateContent xmlns:mc="http://schemas.openxmlformats.org/markup-compatibility/2006">
      <mc:Choice Requires="x14">
        <control shapeId="65538" r:id="rId4" name="CommandButton2">
          <controlPr autoLine="0" r:id="rId5">
            <anchor moveWithCells="1">
              <from>
                <xdr:col>14</xdr:col>
                <xdr:colOff>28575</xdr:colOff>
                <xdr:row>0</xdr:row>
                <xdr:rowOff>0</xdr:rowOff>
              </from>
              <to>
                <xdr:col>17</xdr:col>
                <xdr:colOff>190500</xdr:colOff>
                <xdr:row>1</xdr:row>
                <xdr:rowOff>123825</xdr:rowOff>
              </to>
            </anchor>
          </controlPr>
        </control>
      </mc:Choice>
      <mc:Fallback>
        <control shapeId="65538" r:id="rId4" name="CommandButton2"/>
      </mc:Fallback>
    </mc:AlternateContent>
    <mc:AlternateContent xmlns:mc="http://schemas.openxmlformats.org/markup-compatibility/2006">
      <mc:Choice Requires="x14">
        <control shapeId="65537" r:id="rId6" name="CommandButton1">
          <controlPr autoLine="0" r:id="rId7">
            <anchor moveWithCells="1">
              <from>
                <xdr:col>10</xdr:col>
                <xdr:colOff>9525</xdr:colOff>
                <xdr:row>0</xdr:row>
                <xdr:rowOff>0</xdr:rowOff>
              </from>
              <to>
                <xdr:col>13</xdr:col>
                <xdr:colOff>171450</xdr:colOff>
                <xdr:row>1</xdr:row>
                <xdr:rowOff>123825</xdr:rowOff>
              </to>
            </anchor>
          </controlPr>
        </control>
      </mc:Choice>
      <mc:Fallback>
        <control shapeId="65537" r:id="rId6" name="CommandButton1"/>
      </mc:Fallback>
    </mc:AlternateContent>
  </control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dimension ref="B2:G29"/>
  <sheetViews>
    <sheetView topLeftCell="B1" workbookViewId="0">
      <selection activeCell="C28" sqref="C28"/>
    </sheetView>
  </sheetViews>
  <sheetFormatPr defaultColWidth="4.5703125" defaultRowHeight="12.75" x14ac:dyDescent="0.2"/>
  <cols>
    <col min="1" max="1" width="0" hidden="1" customWidth="1"/>
    <col min="2" max="3" width="18.7109375" customWidth="1"/>
    <col min="4" max="4" width="48.7109375" customWidth="1"/>
    <col min="5" max="7" width="12.7109375" customWidth="1"/>
  </cols>
  <sheetData>
    <row r="2" spans="2:7" ht="37.5" customHeight="1" x14ac:dyDescent="0.2">
      <c r="B2" s="242" t="s">
        <v>246</v>
      </c>
      <c r="C2" s="242"/>
      <c r="D2" s="242"/>
      <c r="E2" s="242"/>
      <c r="F2" s="242"/>
      <c r="G2" s="242"/>
    </row>
    <row r="3" spans="2:7" ht="125.25" customHeight="1" x14ac:dyDescent="0.2">
      <c r="B3" s="243" t="s">
        <v>254</v>
      </c>
      <c r="C3" s="243"/>
      <c r="D3" s="243"/>
      <c r="E3" s="243"/>
      <c r="F3" s="243"/>
      <c r="G3" s="243"/>
    </row>
    <row r="4" spans="2:7" ht="13.5" customHeight="1" x14ac:dyDescent="0.2">
      <c r="B4" s="81"/>
      <c r="C4" s="82"/>
      <c r="D4" s="244"/>
      <c r="E4" s="245"/>
      <c r="F4" s="245"/>
      <c r="G4" s="246"/>
    </row>
    <row r="5" spans="2:7" ht="14.25" x14ac:dyDescent="0.3">
      <c r="B5" s="83" t="s">
        <v>14</v>
      </c>
      <c r="C5" s="72" t="s">
        <v>252</v>
      </c>
      <c r="D5" s="84"/>
      <c r="E5" s="85"/>
      <c r="F5" s="85"/>
      <c r="G5" s="86"/>
    </row>
    <row r="6" spans="2:7" ht="14.25" customHeight="1" x14ac:dyDescent="0.3">
      <c r="B6" s="78" t="s">
        <v>154</v>
      </c>
      <c r="C6" s="87">
        <f>COUNTIF(ISR清单!I4:I47,"待分析")</f>
        <v>0</v>
      </c>
      <c r="D6" s="84"/>
      <c r="E6" s="85"/>
      <c r="F6" s="85"/>
      <c r="G6" s="86"/>
    </row>
    <row r="7" spans="2:7" ht="14.25" customHeight="1" x14ac:dyDescent="0.3">
      <c r="B7" s="78" t="s">
        <v>146</v>
      </c>
      <c r="C7" s="87">
        <f>COUNTIF(ISR清单!I4:I47,"待排期")</f>
        <v>3</v>
      </c>
      <c r="D7" s="84"/>
      <c r="E7" s="85"/>
      <c r="F7" s="85"/>
      <c r="G7" s="86"/>
    </row>
    <row r="8" spans="2:7" ht="14.25" customHeight="1" x14ac:dyDescent="0.3">
      <c r="B8" s="78" t="s">
        <v>147</v>
      </c>
      <c r="C8" s="87">
        <f>COUNTIF(ISR清单!I4:I47,"已挂起")</f>
        <v>0</v>
      </c>
      <c r="D8" s="84"/>
      <c r="E8" s="85"/>
      <c r="F8" s="85"/>
      <c r="G8" s="86"/>
    </row>
    <row r="9" spans="2:7" ht="14.25" customHeight="1" x14ac:dyDescent="0.3">
      <c r="B9" s="78" t="s">
        <v>148</v>
      </c>
      <c r="C9" s="87"/>
      <c r="D9" s="84"/>
      <c r="E9" s="85"/>
      <c r="F9" s="85"/>
      <c r="G9" s="86"/>
    </row>
    <row r="10" spans="2:7" s="50" customFormat="1" ht="12.75" customHeight="1" x14ac:dyDescent="0.2">
      <c r="B10" s="69" t="s">
        <v>17</v>
      </c>
      <c r="C10" s="88"/>
      <c r="D10" s="89"/>
      <c r="E10" s="85"/>
      <c r="F10" s="85"/>
      <c r="G10" s="86"/>
    </row>
    <row r="11" spans="2:7" ht="14.25" customHeight="1" x14ac:dyDescent="0.2">
      <c r="B11" s="90"/>
      <c r="C11" s="91"/>
      <c r="D11" s="91"/>
      <c r="E11" s="92"/>
      <c r="F11" s="92"/>
      <c r="G11" s="93"/>
    </row>
    <row r="12" spans="2:7" ht="14.25" x14ac:dyDescent="0.3">
      <c r="B12" s="74" t="s">
        <v>18</v>
      </c>
      <c r="C12" s="74" t="s">
        <v>59</v>
      </c>
      <c r="D12" s="74" t="s">
        <v>58</v>
      </c>
      <c r="E12" s="73"/>
      <c r="F12" s="70"/>
      <c r="G12" s="94"/>
    </row>
    <row r="13" spans="2:7" ht="28.5" x14ac:dyDescent="0.3">
      <c r="B13" s="95" t="s">
        <v>75</v>
      </c>
      <c r="C13" s="96">
        <v>43287</v>
      </c>
      <c r="D13" s="96">
        <v>43287</v>
      </c>
      <c r="E13" s="97"/>
      <c r="F13" s="85"/>
      <c r="G13" s="86"/>
    </row>
    <row r="14" spans="2:7" ht="14.25" x14ac:dyDescent="0.3">
      <c r="B14" s="98" t="s">
        <v>74</v>
      </c>
      <c r="C14" s="96">
        <v>43283</v>
      </c>
      <c r="D14" s="96">
        <v>43290</v>
      </c>
      <c r="E14" s="84"/>
      <c r="F14" s="85"/>
      <c r="G14" s="86"/>
    </row>
    <row r="15" spans="2:7" ht="14.25" x14ac:dyDescent="0.3">
      <c r="B15" s="95" t="s">
        <v>73</v>
      </c>
      <c r="C15" s="96">
        <v>43290</v>
      </c>
      <c r="D15" s="96">
        <v>43290</v>
      </c>
      <c r="E15" s="97"/>
      <c r="F15" s="85"/>
      <c r="G15" s="86"/>
    </row>
    <row r="16" spans="2:7" ht="14.25" x14ac:dyDescent="0.3">
      <c r="B16" s="98" t="s">
        <v>19</v>
      </c>
      <c r="C16" s="96">
        <v>43291</v>
      </c>
      <c r="D16" s="96">
        <v>43291</v>
      </c>
      <c r="E16" s="97"/>
      <c r="F16" s="85"/>
      <c r="G16" s="86"/>
    </row>
    <row r="17" spans="2:7" ht="14.25" x14ac:dyDescent="0.2">
      <c r="B17" s="99" t="s">
        <v>68</v>
      </c>
      <c r="C17" s="79"/>
      <c r="D17" s="79"/>
      <c r="E17" s="79"/>
      <c r="F17" s="79"/>
      <c r="G17" s="100"/>
    </row>
    <row r="18" spans="2:7" ht="28.5" x14ac:dyDescent="0.2">
      <c r="B18" s="75" t="s">
        <v>187</v>
      </c>
      <c r="C18" s="76" t="s">
        <v>44</v>
      </c>
      <c r="D18" s="75" t="s">
        <v>46</v>
      </c>
      <c r="E18" s="75" t="s">
        <v>48</v>
      </c>
      <c r="F18" s="77" t="s">
        <v>189</v>
      </c>
      <c r="G18" s="75" t="s">
        <v>188</v>
      </c>
    </row>
    <row r="19" spans="2:7" ht="43.5" customHeight="1" x14ac:dyDescent="0.2">
      <c r="B19" s="80" t="s">
        <v>257</v>
      </c>
      <c r="C19" s="101">
        <v>43239</v>
      </c>
      <c r="D19" s="80" t="s">
        <v>255</v>
      </c>
      <c r="E19" s="80" t="s">
        <v>259</v>
      </c>
      <c r="F19" s="80" t="s">
        <v>260</v>
      </c>
      <c r="G19" s="80"/>
    </row>
    <row r="20" spans="2:7" ht="43.5" customHeight="1" x14ac:dyDescent="0.2">
      <c r="B20" s="119"/>
      <c r="C20" s="120"/>
      <c r="D20" s="121"/>
      <c r="E20" s="121"/>
      <c r="F20" s="121"/>
      <c r="G20" s="122"/>
    </row>
    <row r="21" spans="2:7" ht="25.5" customHeight="1" x14ac:dyDescent="0.2">
      <c r="B21" s="247" t="s">
        <v>69</v>
      </c>
      <c r="C21" s="248"/>
      <c r="D21" s="248"/>
      <c r="E21" s="248"/>
      <c r="F21" s="248"/>
      <c r="G21" s="249"/>
    </row>
    <row r="22" spans="2:7" ht="28.5" x14ac:dyDescent="0.2">
      <c r="B22" s="75" t="s">
        <v>51</v>
      </c>
      <c r="C22" s="75" t="s">
        <v>52</v>
      </c>
      <c r="D22" s="75" t="s">
        <v>54</v>
      </c>
      <c r="E22" s="75" t="s">
        <v>102</v>
      </c>
      <c r="F22" s="75" t="s">
        <v>99</v>
      </c>
      <c r="G22" s="75" t="s">
        <v>49</v>
      </c>
    </row>
    <row r="23" spans="2:7" ht="14.25" x14ac:dyDescent="0.3">
      <c r="B23" s="78"/>
      <c r="C23" s="96"/>
      <c r="D23" s="78"/>
      <c r="E23" s="87"/>
      <c r="F23" s="78"/>
      <c r="G23" s="78"/>
    </row>
    <row r="24" spans="2:7" ht="14.25" x14ac:dyDescent="0.3">
      <c r="B24" s="78"/>
      <c r="C24" s="96"/>
      <c r="D24" s="78"/>
      <c r="E24" s="87"/>
      <c r="F24" s="78"/>
      <c r="G24" s="78"/>
    </row>
    <row r="25" spans="2:7" ht="14.25" x14ac:dyDescent="0.3">
      <c r="B25" s="113"/>
      <c r="C25" s="114"/>
      <c r="D25" s="115"/>
      <c r="E25" s="116"/>
      <c r="F25" s="115"/>
      <c r="G25" s="117"/>
    </row>
    <row r="26" spans="2:7" ht="23.25" customHeight="1" x14ac:dyDescent="0.2">
      <c r="B26" s="247" t="s">
        <v>70</v>
      </c>
      <c r="C26" s="248"/>
      <c r="D26" s="248"/>
      <c r="E26" s="248"/>
      <c r="F26" s="248"/>
      <c r="G26" s="249"/>
    </row>
    <row r="27" spans="2:7" ht="14.25" x14ac:dyDescent="0.2">
      <c r="B27" s="75" t="s">
        <v>67</v>
      </c>
      <c r="C27" s="75" t="s">
        <v>14</v>
      </c>
      <c r="D27" s="75" t="s">
        <v>66</v>
      </c>
      <c r="E27" s="250" t="s">
        <v>97</v>
      </c>
      <c r="F27" s="251"/>
      <c r="G27" s="75" t="s">
        <v>16</v>
      </c>
    </row>
    <row r="28" spans="2:7" x14ac:dyDescent="0.2">
      <c r="B28" s="55" t="s">
        <v>261</v>
      </c>
      <c r="C28" s="55"/>
      <c r="D28" s="123">
        <v>43291</v>
      </c>
      <c r="E28" s="240" t="s">
        <v>262</v>
      </c>
      <c r="F28" s="237"/>
      <c r="G28" s="55"/>
    </row>
    <row r="29" spans="2:7" ht="88.5" customHeight="1" x14ac:dyDescent="0.2">
      <c r="B29" s="105" t="s">
        <v>62</v>
      </c>
      <c r="C29" s="241" t="s">
        <v>210</v>
      </c>
      <c r="D29" s="241"/>
      <c r="E29" s="241"/>
      <c r="F29" s="241"/>
      <c r="G29" s="241"/>
    </row>
  </sheetData>
  <mergeCells count="8">
    <mergeCell ref="E28:F28"/>
    <mergeCell ref="C29:G29"/>
    <mergeCell ref="B2:G2"/>
    <mergeCell ref="B3:G3"/>
    <mergeCell ref="D4:G4"/>
    <mergeCell ref="B21:G21"/>
    <mergeCell ref="B26:G26"/>
    <mergeCell ref="E27:F27"/>
  </mergeCells>
  <phoneticPr fontId="58" type="noConversion"/>
  <dataValidations count="1">
    <dataValidation type="list" allowBlank="1" showInputMessage="1" showErrorMessage="1" sqref="C5">
      <formula1>版本名称</formula1>
    </dataValidation>
  </dataValidations>
  <pageMargins left="0.75" right="0.75" top="1" bottom="1" header="0.5" footer="0.5"/>
  <pageSetup paperSize="9" orientation="portrait" horizontalDpi="300" verticalDpi="300" r:id="rId1"/>
  <headerFooter alignWithMargins="0"/>
  <drawing r:id="rId2"/>
  <legacyDrawing r:id="rId3"/>
  <controls>
    <mc:AlternateContent xmlns:mc="http://schemas.openxmlformats.org/markup-compatibility/2006">
      <mc:Choice Requires="x14">
        <control shapeId="64514" r:id="rId4" name="CommandButton2">
          <controlPr autoLine="0" r:id="rId5">
            <anchor moveWithCells="1">
              <from>
                <xdr:col>14</xdr:col>
                <xdr:colOff>28575</xdr:colOff>
                <xdr:row>0</xdr:row>
                <xdr:rowOff>0</xdr:rowOff>
              </from>
              <to>
                <xdr:col>17</xdr:col>
                <xdr:colOff>190500</xdr:colOff>
                <xdr:row>1</xdr:row>
                <xdr:rowOff>123825</xdr:rowOff>
              </to>
            </anchor>
          </controlPr>
        </control>
      </mc:Choice>
      <mc:Fallback>
        <control shapeId="64514" r:id="rId4" name="CommandButton2"/>
      </mc:Fallback>
    </mc:AlternateContent>
    <mc:AlternateContent xmlns:mc="http://schemas.openxmlformats.org/markup-compatibility/2006">
      <mc:Choice Requires="x14">
        <control shapeId="64513" r:id="rId6" name="CommandButton1">
          <controlPr autoLine="0" r:id="rId7">
            <anchor moveWithCells="1">
              <from>
                <xdr:col>10</xdr:col>
                <xdr:colOff>9525</xdr:colOff>
                <xdr:row>0</xdr:row>
                <xdr:rowOff>0</xdr:rowOff>
              </from>
              <to>
                <xdr:col>13</xdr:col>
                <xdr:colOff>171450</xdr:colOff>
                <xdr:row>1</xdr:row>
                <xdr:rowOff>123825</xdr:rowOff>
              </to>
            </anchor>
          </controlPr>
        </control>
      </mc:Choice>
      <mc:Fallback>
        <control shapeId="64513" r:id="rId6" name="CommandButton1"/>
      </mc:Fallback>
    </mc:AlternateContent>
  </control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8"/>
  <dimension ref="B2:G29"/>
  <sheetViews>
    <sheetView topLeftCell="B1" workbookViewId="0">
      <selection activeCell="H3" sqref="H3"/>
    </sheetView>
  </sheetViews>
  <sheetFormatPr defaultColWidth="4.5703125" defaultRowHeight="12.75" x14ac:dyDescent="0.2"/>
  <cols>
    <col min="1" max="1" width="0" hidden="1" customWidth="1"/>
    <col min="2" max="3" width="18.7109375" customWidth="1"/>
    <col min="4" max="4" width="48.7109375" customWidth="1"/>
    <col min="5" max="7" width="12.7109375" customWidth="1"/>
  </cols>
  <sheetData>
    <row r="2" spans="2:7" ht="37.5" customHeight="1" x14ac:dyDescent="0.2">
      <c r="B2" s="242" t="s">
        <v>246</v>
      </c>
      <c r="C2" s="242"/>
      <c r="D2" s="242"/>
      <c r="E2" s="242"/>
      <c r="F2" s="242"/>
      <c r="G2" s="242"/>
    </row>
    <row r="3" spans="2:7" ht="125.25" customHeight="1" x14ac:dyDescent="0.2">
      <c r="B3" s="243" t="s">
        <v>247</v>
      </c>
      <c r="C3" s="243"/>
      <c r="D3" s="243"/>
      <c r="E3" s="243"/>
      <c r="F3" s="243"/>
      <c r="G3" s="243"/>
    </row>
    <row r="4" spans="2:7" ht="13.5" customHeight="1" x14ac:dyDescent="0.2">
      <c r="B4" s="81"/>
      <c r="C4" s="82"/>
      <c r="D4" s="244"/>
      <c r="E4" s="245"/>
      <c r="F4" s="245"/>
      <c r="G4" s="246"/>
    </row>
    <row r="5" spans="2:7" ht="14.25" x14ac:dyDescent="0.3">
      <c r="B5" s="83" t="s">
        <v>14</v>
      </c>
      <c r="C5" s="72" t="s">
        <v>248</v>
      </c>
      <c r="D5" s="84"/>
      <c r="E5" s="85"/>
      <c r="F5" s="85"/>
      <c r="G5" s="86"/>
    </row>
    <row r="6" spans="2:7" ht="14.25" customHeight="1" x14ac:dyDescent="0.3">
      <c r="B6" s="78" t="s">
        <v>154</v>
      </c>
      <c r="C6" s="87">
        <f>COUNTIF(ISR清单!I4:I47,"待分析")</f>
        <v>0</v>
      </c>
      <c r="D6" s="84"/>
      <c r="E6" s="85"/>
      <c r="F6" s="85"/>
      <c r="G6" s="86"/>
    </row>
    <row r="7" spans="2:7" ht="14.25" customHeight="1" x14ac:dyDescent="0.3">
      <c r="B7" s="78" t="s">
        <v>146</v>
      </c>
      <c r="C7" s="87">
        <f>COUNTIF(ISR清单!I4:I47,"待排期")</f>
        <v>3</v>
      </c>
      <c r="D7" s="84"/>
      <c r="E7" s="85"/>
      <c r="F7" s="85"/>
      <c r="G7" s="86"/>
    </row>
    <row r="8" spans="2:7" ht="14.25" customHeight="1" x14ac:dyDescent="0.3">
      <c r="B8" s="78" t="s">
        <v>147</v>
      </c>
      <c r="C8" s="87">
        <f>COUNTIF(ISR清单!I4:I47,"已挂起")</f>
        <v>0</v>
      </c>
      <c r="D8" s="84"/>
      <c r="E8" s="85"/>
      <c r="F8" s="85"/>
      <c r="G8" s="86"/>
    </row>
    <row r="9" spans="2:7" ht="14.25" customHeight="1" x14ac:dyDescent="0.3">
      <c r="B9" s="78" t="s">
        <v>148</v>
      </c>
      <c r="C9" s="87"/>
      <c r="D9" s="84"/>
      <c r="E9" s="85"/>
      <c r="F9" s="85"/>
      <c r="G9" s="86"/>
    </row>
    <row r="10" spans="2:7" s="50" customFormat="1" ht="12.75" customHeight="1" x14ac:dyDescent="0.2">
      <c r="B10" s="69" t="s">
        <v>17</v>
      </c>
      <c r="C10" s="88"/>
      <c r="D10" s="89"/>
      <c r="E10" s="85"/>
      <c r="F10" s="85"/>
      <c r="G10" s="86"/>
    </row>
    <row r="11" spans="2:7" ht="14.25" customHeight="1" x14ac:dyDescent="0.2">
      <c r="B11" s="90"/>
      <c r="C11" s="91"/>
      <c r="D11" s="91"/>
      <c r="E11" s="92"/>
      <c r="F11" s="92"/>
      <c r="G11" s="93"/>
    </row>
    <row r="12" spans="2:7" ht="14.25" x14ac:dyDescent="0.3">
      <c r="B12" s="74" t="s">
        <v>18</v>
      </c>
      <c r="C12" s="74" t="s">
        <v>59</v>
      </c>
      <c r="D12" s="74" t="s">
        <v>58</v>
      </c>
      <c r="E12" s="73"/>
      <c r="F12" s="70"/>
      <c r="G12" s="94"/>
    </row>
    <row r="13" spans="2:7" ht="28.5" x14ac:dyDescent="0.3">
      <c r="B13" s="95" t="s">
        <v>75</v>
      </c>
      <c r="C13" s="96">
        <v>43270</v>
      </c>
      <c r="D13" s="96">
        <v>43270</v>
      </c>
      <c r="E13" s="97"/>
      <c r="F13" s="85"/>
      <c r="G13" s="86"/>
    </row>
    <row r="14" spans="2:7" ht="14.25" x14ac:dyDescent="0.3">
      <c r="B14" s="98" t="s">
        <v>74</v>
      </c>
      <c r="C14" s="96">
        <v>43270</v>
      </c>
      <c r="D14" s="96">
        <v>43270</v>
      </c>
      <c r="E14" s="84"/>
      <c r="F14" s="85"/>
      <c r="G14" s="86"/>
    </row>
    <row r="15" spans="2:7" ht="14.25" x14ac:dyDescent="0.3">
      <c r="B15" s="95" t="s">
        <v>73</v>
      </c>
      <c r="C15" s="96">
        <v>43270</v>
      </c>
      <c r="D15" s="96">
        <v>43270</v>
      </c>
      <c r="E15" s="97"/>
      <c r="F15" s="85"/>
      <c r="G15" s="86"/>
    </row>
    <row r="16" spans="2:7" ht="14.25" x14ac:dyDescent="0.3">
      <c r="B16" s="98" t="s">
        <v>19</v>
      </c>
      <c r="C16" s="96">
        <v>43270</v>
      </c>
      <c r="D16" s="96">
        <v>43270</v>
      </c>
      <c r="E16" s="97"/>
      <c r="F16" s="85"/>
      <c r="G16" s="86"/>
    </row>
    <row r="17" spans="2:7" ht="14.25" x14ac:dyDescent="0.2">
      <c r="B17" s="99" t="s">
        <v>68</v>
      </c>
      <c r="C17" s="79"/>
      <c r="D17" s="79"/>
      <c r="E17" s="79"/>
      <c r="F17" s="79"/>
      <c r="G17" s="100"/>
    </row>
    <row r="18" spans="2:7" ht="28.5" x14ac:dyDescent="0.2">
      <c r="B18" s="75" t="s">
        <v>187</v>
      </c>
      <c r="C18" s="76" t="s">
        <v>44</v>
      </c>
      <c r="D18" s="75" t="s">
        <v>46</v>
      </c>
      <c r="E18" s="75" t="s">
        <v>48</v>
      </c>
      <c r="F18" s="77" t="s">
        <v>189</v>
      </c>
      <c r="G18" s="75" t="s">
        <v>188</v>
      </c>
    </row>
    <row r="19" spans="2:7" ht="43.5" customHeight="1" x14ac:dyDescent="0.2">
      <c r="B19" s="80" t="s">
        <v>236</v>
      </c>
      <c r="C19" s="101">
        <v>43270</v>
      </c>
      <c r="D19" s="80" t="s">
        <v>250</v>
      </c>
      <c r="E19" s="80"/>
      <c r="F19" s="80"/>
      <c r="G19" s="80"/>
    </row>
    <row r="20" spans="2:7" ht="43.5" customHeight="1" x14ac:dyDescent="0.2">
      <c r="B20" s="119"/>
      <c r="C20" s="120"/>
      <c r="D20" s="121"/>
      <c r="E20" s="121"/>
      <c r="F20" s="121"/>
      <c r="G20" s="122"/>
    </row>
    <row r="21" spans="2:7" ht="25.5" customHeight="1" x14ac:dyDescent="0.2">
      <c r="B21" s="247" t="s">
        <v>69</v>
      </c>
      <c r="C21" s="248"/>
      <c r="D21" s="248"/>
      <c r="E21" s="248"/>
      <c r="F21" s="248"/>
      <c r="G21" s="249"/>
    </row>
    <row r="22" spans="2:7" ht="28.5" x14ac:dyDescent="0.2">
      <c r="B22" s="75" t="s">
        <v>51</v>
      </c>
      <c r="C22" s="75" t="s">
        <v>52</v>
      </c>
      <c r="D22" s="75" t="s">
        <v>54</v>
      </c>
      <c r="E22" s="75" t="s">
        <v>102</v>
      </c>
      <c r="F22" s="75" t="s">
        <v>99</v>
      </c>
      <c r="G22" s="75" t="s">
        <v>49</v>
      </c>
    </row>
    <row r="23" spans="2:7" ht="14.25" x14ac:dyDescent="0.3">
      <c r="B23" s="78"/>
      <c r="C23" s="96"/>
      <c r="D23" s="78"/>
      <c r="E23" s="87"/>
      <c r="F23" s="78"/>
      <c r="G23" s="78"/>
    </row>
    <row r="24" spans="2:7" ht="14.25" x14ac:dyDescent="0.3">
      <c r="B24" s="78"/>
      <c r="C24" s="96"/>
      <c r="D24" s="78"/>
      <c r="E24" s="87"/>
      <c r="F24" s="78"/>
      <c r="G24" s="78"/>
    </row>
    <row r="25" spans="2:7" ht="14.25" x14ac:dyDescent="0.3">
      <c r="B25" s="113"/>
      <c r="C25" s="114"/>
      <c r="D25" s="115"/>
      <c r="E25" s="116"/>
      <c r="F25" s="115"/>
      <c r="G25" s="117"/>
    </row>
    <row r="26" spans="2:7" ht="23.25" customHeight="1" x14ac:dyDescent="0.2">
      <c r="B26" s="247" t="s">
        <v>70</v>
      </c>
      <c r="C26" s="248"/>
      <c r="D26" s="248"/>
      <c r="E26" s="248"/>
      <c r="F26" s="248"/>
      <c r="G26" s="249"/>
    </row>
    <row r="27" spans="2:7" ht="14.25" x14ac:dyDescent="0.2">
      <c r="B27" s="75" t="s">
        <v>67</v>
      </c>
      <c r="C27" s="75" t="s">
        <v>14</v>
      </c>
      <c r="D27" s="75" t="s">
        <v>66</v>
      </c>
      <c r="E27" s="250" t="s">
        <v>97</v>
      </c>
      <c r="F27" s="251"/>
      <c r="G27" s="75" t="s">
        <v>16</v>
      </c>
    </row>
    <row r="28" spans="2:7" x14ac:dyDescent="0.2">
      <c r="B28" s="55"/>
      <c r="C28" s="55"/>
      <c r="D28" s="55"/>
      <c r="E28" s="240"/>
      <c r="F28" s="237"/>
      <c r="G28" s="55"/>
    </row>
    <row r="29" spans="2:7" ht="88.5" customHeight="1" x14ac:dyDescent="0.2">
      <c r="B29" s="105" t="s">
        <v>62</v>
      </c>
      <c r="C29" s="241" t="s">
        <v>210</v>
      </c>
      <c r="D29" s="241"/>
      <c r="E29" s="241"/>
      <c r="F29" s="241"/>
      <c r="G29" s="241"/>
    </row>
  </sheetData>
  <mergeCells count="8">
    <mergeCell ref="E28:F28"/>
    <mergeCell ref="C29:G29"/>
    <mergeCell ref="B2:G2"/>
    <mergeCell ref="B3:G3"/>
    <mergeCell ref="D4:G4"/>
    <mergeCell ref="B21:G21"/>
    <mergeCell ref="B26:G26"/>
    <mergeCell ref="E27:F27"/>
  </mergeCells>
  <phoneticPr fontId="57" type="noConversion"/>
  <dataValidations count="1">
    <dataValidation type="list" allowBlank="1" showInputMessage="1" showErrorMessage="1" sqref="C5">
      <formula1>版本名称</formula1>
    </dataValidation>
  </dataValidations>
  <pageMargins left="0.75" right="0.75" top="1" bottom="1" header="0.5" footer="0.5"/>
  <pageSetup paperSize="9" orientation="portrait" horizontalDpi="300" verticalDpi="300" r:id="rId1"/>
  <headerFooter alignWithMargins="0"/>
  <drawing r:id="rId2"/>
  <legacyDrawing r:id="rId3"/>
  <controls>
    <mc:AlternateContent xmlns:mc="http://schemas.openxmlformats.org/markup-compatibility/2006">
      <mc:Choice Requires="x14">
        <control shapeId="63490" r:id="rId4" name="CommandButton2">
          <controlPr autoLine="0" r:id="rId5">
            <anchor moveWithCells="1">
              <from>
                <xdr:col>14</xdr:col>
                <xdr:colOff>28575</xdr:colOff>
                <xdr:row>0</xdr:row>
                <xdr:rowOff>0</xdr:rowOff>
              </from>
              <to>
                <xdr:col>17</xdr:col>
                <xdr:colOff>190500</xdr:colOff>
                <xdr:row>1</xdr:row>
                <xdr:rowOff>123825</xdr:rowOff>
              </to>
            </anchor>
          </controlPr>
        </control>
      </mc:Choice>
      <mc:Fallback>
        <control shapeId="63490" r:id="rId4" name="CommandButton2"/>
      </mc:Fallback>
    </mc:AlternateContent>
    <mc:AlternateContent xmlns:mc="http://schemas.openxmlformats.org/markup-compatibility/2006">
      <mc:Choice Requires="x14">
        <control shapeId="63489" r:id="rId6" name="CommandButton1">
          <controlPr autoLine="0" r:id="rId7">
            <anchor moveWithCells="1">
              <from>
                <xdr:col>10</xdr:col>
                <xdr:colOff>9525</xdr:colOff>
                <xdr:row>0</xdr:row>
                <xdr:rowOff>0</xdr:rowOff>
              </from>
              <to>
                <xdr:col>13</xdr:col>
                <xdr:colOff>171450</xdr:colOff>
                <xdr:row>1</xdr:row>
                <xdr:rowOff>123825</xdr:rowOff>
              </to>
            </anchor>
          </controlPr>
        </control>
      </mc:Choice>
      <mc:Fallback>
        <control shapeId="63489" r:id="rId6" name="CommandButton1"/>
      </mc:Fallback>
    </mc:AlternateContent>
  </control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dimension ref="B2:G32"/>
  <sheetViews>
    <sheetView topLeftCell="B1" workbookViewId="0">
      <selection activeCell="B2" sqref="B2:G26"/>
    </sheetView>
  </sheetViews>
  <sheetFormatPr defaultColWidth="4.5703125" defaultRowHeight="12.75" x14ac:dyDescent="0.2"/>
  <cols>
    <col min="1" max="1" width="0" hidden="1" customWidth="1"/>
    <col min="2" max="3" width="18.7109375" customWidth="1"/>
    <col min="4" max="4" width="48.7109375" customWidth="1"/>
    <col min="5" max="7" width="12.7109375" customWidth="1"/>
  </cols>
  <sheetData>
    <row r="2" spans="2:7" ht="37.5" customHeight="1" x14ac:dyDescent="0.2">
      <c r="B2" s="242" t="s">
        <v>239</v>
      </c>
      <c r="C2" s="242"/>
      <c r="D2" s="242"/>
      <c r="E2" s="242"/>
      <c r="F2" s="242"/>
      <c r="G2" s="242"/>
    </row>
    <row r="3" spans="2:7" ht="125.25" customHeight="1" x14ac:dyDescent="0.2">
      <c r="B3" s="243" t="s">
        <v>238</v>
      </c>
      <c r="C3" s="243"/>
      <c r="D3" s="243"/>
      <c r="E3" s="243"/>
      <c r="F3" s="243"/>
      <c r="G3" s="243"/>
    </row>
    <row r="4" spans="2:7" ht="13.5" customHeight="1" x14ac:dyDescent="0.2">
      <c r="B4" s="81"/>
      <c r="C4" s="82"/>
      <c r="D4" s="244"/>
      <c r="E4" s="245"/>
      <c r="F4" s="245"/>
      <c r="G4" s="246"/>
    </row>
    <row r="5" spans="2:7" ht="14.25" x14ac:dyDescent="0.3">
      <c r="B5" s="83" t="s">
        <v>14</v>
      </c>
      <c r="C5" s="72" t="s">
        <v>224</v>
      </c>
      <c r="D5" s="84"/>
      <c r="E5" s="85"/>
      <c r="F5" s="85"/>
      <c r="G5" s="86"/>
    </row>
    <row r="6" spans="2:7" ht="14.25" customHeight="1" x14ac:dyDescent="0.3">
      <c r="B6" s="78" t="s">
        <v>154</v>
      </c>
      <c r="C6" s="87">
        <f>COUNTIF(ISR清单!I4:I47,"待分析")</f>
        <v>0</v>
      </c>
      <c r="D6" s="84"/>
      <c r="E6" s="85"/>
      <c r="F6" s="85"/>
      <c r="G6" s="86"/>
    </row>
    <row r="7" spans="2:7" ht="14.25" customHeight="1" x14ac:dyDescent="0.3">
      <c r="B7" s="78" t="s">
        <v>146</v>
      </c>
      <c r="C7" s="87">
        <f>COUNTIF(ISR清单!I4:I47,"待排期")</f>
        <v>3</v>
      </c>
      <c r="D7" s="84"/>
      <c r="E7" s="85"/>
      <c r="F7" s="85"/>
      <c r="G7" s="86"/>
    </row>
    <row r="8" spans="2:7" ht="14.25" customHeight="1" x14ac:dyDescent="0.3">
      <c r="B8" s="78" t="s">
        <v>147</v>
      </c>
      <c r="C8" s="87">
        <f>COUNTIF(ISR清单!I4:I47,"已挂起")</f>
        <v>0</v>
      </c>
      <c r="D8" s="84"/>
      <c r="E8" s="85"/>
      <c r="F8" s="85"/>
      <c r="G8" s="86"/>
    </row>
    <row r="9" spans="2:7" ht="14.25" customHeight="1" x14ac:dyDescent="0.3">
      <c r="B9" s="78" t="s">
        <v>148</v>
      </c>
      <c r="C9" s="87"/>
      <c r="D9" s="84"/>
      <c r="E9" s="85"/>
      <c r="F9" s="85"/>
      <c r="G9" s="86"/>
    </row>
    <row r="10" spans="2:7" s="50" customFormat="1" ht="12.75" customHeight="1" x14ac:dyDescent="0.2">
      <c r="B10" s="69" t="s">
        <v>17</v>
      </c>
      <c r="C10" s="88"/>
      <c r="D10" s="89"/>
      <c r="E10" s="85"/>
      <c r="F10" s="85"/>
      <c r="G10" s="86"/>
    </row>
    <row r="11" spans="2:7" ht="14.25" customHeight="1" x14ac:dyDescent="0.2">
      <c r="B11" s="90"/>
      <c r="C11" s="91"/>
      <c r="D11" s="91"/>
      <c r="E11" s="92"/>
      <c r="F11" s="92"/>
      <c r="G11" s="93"/>
    </row>
    <row r="12" spans="2:7" ht="14.25" x14ac:dyDescent="0.3">
      <c r="B12" s="74" t="s">
        <v>18</v>
      </c>
      <c r="C12" s="74" t="s">
        <v>59</v>
      </c>
      <c r="D12" s="74" t="s">
        <v>58</v>
      </c>
      <c r="E12" s="73"/>
      <c r="F12" s="70"/>
      <c r="G12" s="94"/>
    </row>
    <row r="13" spans="2:7" ht="28.5" x14ac:dyDescent="0.3">
      <c r="B13" s="95" t="s">
        <v>75</v>
      </c>
      <c r="C13" s="96">
        <v>43206</v>
      </c>
      <c r="D13" s="96">
        <v>43206</v>
      </c>
      <c r="E13" s="97"/>
      <c r="F13" s="85"/>
      <c r="G13" s="86"/>
    </row>
    <row r="14" spans="2:7" ht="14.25" x14ac:dyDescent="0.3">
      <c r="B14" s="98" t="s">
        <v>74</v>
      </c>
      <c r="C14" s="96">
        <v>43209</v>
      </c>
      <c r="D14" s="96">
        <v>43209</v>
      </c>
      <c r="E14" s="84"/>
      <c r="F14" s="85"/>
      <c r="G14" s="86"/>
    </row>
    <row r="15" spans="2:7" ht="14.25" x14ac:dyDescent="0.3">
      <c r="B15" s="95" t="s">
        <v>73</v>
      </c>
      <c r="C15" s="96">
        <v>43210</v>
      </c>
      <c r="D15" s="96">
        <v>43210</v>
      </c>
      <c r="E15" s="97"/>
      <c r="F15" s="85"/>
      <c r="G15" s="86"/>
    </row>
    <row r="16" spans="2:7" ht="14.25" x14ac:dyDescent="0.3">
      <c r="B16" s="98" t="s">
        <v>19</v>
      </c>
      <c r="C16" s="96">
        <v>43215</v>
      </c>
      <c r="D16" s="96">
        <v>43215</v>
      </c>
      <c r="E16" s="97"/>
      <c r="F16" s="85"/>
      <c r="G16" s="86"/>
    </row>
    <row r="17" spans="2:7" ht="14.25" x14ac:dyDescent="0.2">
      <c r="B17" s="99" t="s">
        <v>68</v>
      </c>
      <c r="C17" s="79"/>
      <c r="D17" s="79"/>
      <c r="E17" s="79"/>
      <c r="F17" s="79"/>
      <c r="G17" s="100"/>
    </row>
    <row r="18" spans="2:7" ht="28.5" x14ac:dyDescent="0.2">
      <c r="B18" s="75" t="s">
        <v>187</v>
      </c>
      <c r="C18" s="76" t="s">
        <v>44</v>
      </c>
      <c r="D18" s="75" t="s">
        <v>46</v>
      </c>
      <c r="E18" s="75" t="s">
        <v>48</v>
      </c>
      <c r="F18" s="77" t="s">
        <v>189</v>
      </c>
      <c r="G18" s="75" t="s">
        <v>188</v>
      </c>
    </row>
    <row r="19" spans="2:7" ht="43.5" customHeight="1" x14ac:dyDescent="0.2">
      <c r="B19" s="80" t="s">
        <v>225</v>
      </c>
      <c r="C19" s="101">
        <v>43189</v>
      </c>
      <c r="D19" s="80" t="s">
        <v>226</v>
      </c>
      <c r="E19" s="80" t="s">
        <v>227</v>
      </c>
      <c r="F19" s="80" t="s">
        <v>179</v>
      </c>
      <c r="G19" s="80"/>
    </row>
    <row r="20" spans="2:7" ht="43.5" customHeight="1" x14ac:dyDescent="0.2">
      <c r="B20" s="80" t="s">
        <v>236</v>
      </c>
      <c r="C20" s="101">
        <v>43188</v>
      </c>
      <c r="D20" s="80" t="s">
        <v>228</v>
      </c>
      <c r="E20" s="80" t="s">
        <v>229</v>
      </c>
      <c r="F20" s="80" t="s">
        <v>230</v>
      </c>
      <c r="G20" s="80"/>
    </row>
    <row r="21" spans="2:7" ht="43.5" customHeight="1" x14ac:dyDescent="0.2">
      <c r="B21" s="80" t="s">
        <v>236</v>
      </c>
      <c r="C21" s="101">
        <v>43192</v>
      </c>
      <c r="D21" s="80" t="s">
        <v>231</v>
      </c>
      <c r="E21" s="80" t="s">
        <v>232</v>
      </c>
      <c r="F21" s="80" t="s">
        <v>230</v>
      </c>
      <c r="G21" s="80"/>
    </row>
    <row r="22" spans="2:7" ht="43.5" customHeight="1" x14ac:dyDescent="0.2">
      <c r="B22" s="80" t="s">
        <v>236</v>
      </c>
      <c r="C22" s="101">
        <v>43199</v>
      </c>
      <c r="D22" s="80" t="s">
        <v>233</v>
      </c>
      <c r="E22" s="80" t="s">
        <v>234</v>
      </c>
      <c r="F22" s="80" t="s">
        <v>230</v>
      </c>
      <c r="G22" s="80"/>
    </row>
    <row r="23" spans="2:7" ht="43.5" customHeight="1" x14ac:dyDescent="0.2">
      <c r="B23" s="80" t="s">
        <v>236</v>
      </c>
      <c r="C23" s="101">
        <v>43203</v>
      </c>
      <c r="D23" s="80" t="s">
        <v>235</v>
      </c>
      <c r="E23" s="80" t="s">
        <v>227</v>
      </c>
      <c r="F23" s="80" t="s">
        <v>179</v>
      </c>
      <c r="G23" s="80"/>
    </row>
    <row r="24" spans="2:7" ht="25.5" customHeight="1" x14ac:dyDescent="0.2">
      <c r="B24" s="247" t="s">
        <v>69</v>
      </c>
      <c r="C24" s="248"/>
      <c r="D24" s="248"/>
      <c r="E24" s="248"/>
      <c r="F24" s="248"/>
      <c r="G24" s="249"/>
    </row>
    <row r="25" spans="2:7" ht="28.5" x14ac:dyDescent="0.2">
      <c r="B25" s="75" t="s">
        <v>51</v>
      </c>
      <c r="C25" s="75" t="s">
        <v>52</v>
      </c>
      <c r="D25" s="75" t="s">
        <v>54</v>
      </c>
      <c r="E25" s="75" t="s">
        <v>102</v>
      </c>
      <c r="F25" s="75" t="s">
        <v>99</v>
      </c>
      <c r="G25" s="75" t="s">
        <v>49</v>
      </c>
    </row>
    <row r="26" spans="2:7" ht="14.25" x14ac:dyDescent="0.3">
      <c r="B26" s="78"/>
      <c r="C26" s="96"/>
      <c r="D26" s="78"/>
      <c r="E26" s="87"/>
      <c r="F26" s="78"/>
      <c r="G26" s="78"/>
    </row>
    <row r="27" spans="2:7" ht="23.25" customHeight="1" x14ac:dyDescent="0.2">
      <c r="B27" s="247" t="s">
        <v>70</v>
      </c>
      <c r="C27" s="248"/>
      <c r="D27" s="248"/>
      <c r="E27" s="248"/>
      <c r="F27" s="248"/>
      <c r="G27" s="249"/>
    </row>
    <row r="28" spans="2:7" ht="14.25" x14ac:dyDescent="0.2">
      <c r="B28" s="75" t="s">
        <v>67</v>
      </c>
      <c r="C28" s="75" t="s">
        <v>14</v>
      </c>
      <c r="D28" s="75" t="s">
        <v>66</v>
      </c>
      <c r="E28" s="250" t="s">
        <v>97</v>
      </c>
      <c r="F28" s="251"/>
      <c r="G28" s="75" t="s">
        <v>16</v>
      </c>
    </row>
    <row r="29" spans="2:7" x14ac:dyDescent="0.2">
      <c r="B29" s="55"/>
      <c r="C29" s="55"/>
      <c r="D29" s="102"/>
      <c r="E29" s="236"/>
      <c r="F29" s="237"/>
      <c r="G29" s="103"/>
    </row>
    <row r="30" spans="2:7" x14ac:dyDescent="0.2">
      <c r="B30" s="104"/>
      <c r="C30" s="55"/>
      <c r="D30" s="102"/>
      <c r="E30" s="238"/>
      <c r="F30" s="239"/>
      <c r="G30" s="103"/>
    </row>
    <row r="31" spans="2:7" x14ac:dyDescent="0.2">
      <c r="B31" s="55"/>
      <c r="C31" s="55"/>
      <c r="D31" s="55"/>
      <c r="E31" s="240"/>
      <c r="F31" s="237"/>
      <c r="G31" s="55"/>
    </row>
    <row r="32" spans="2:7" ht="88.5" customHeight="1" x14ac:dyDescent="0.2">
      <c r="B32" s="105" t="s">
        <v>62</v>
      </c>
      <c r="C32" s="241" t="s">
        <v>210</v>
      </c>
      <c r="D32" s="241"/>
      <c r="E32" s="241"/>
      <c r="F32" s="241"/>
      <c r="G32" s="241"/>
    </row>
  </sheetData>
  <mergeCells count="10">
    <mergeCell ref="E29:F29"/>
    <mergeCell ref="E30:F30"/>
    <mergeCell ref="E31:F31"/>
    <mergeCell ref="C32:G32"/>
    <mergeCell ref="B2:G2"/>
    <mergeCell ref="B3:G3"/>
    <mergeCell ref="D4:G4"/>
    <mergeCell ref="B24:G24"/>
    <mergeCell ref="B27:G27"/>
    <mergeCell ref="E28:F28"/>
  </mergeCells>
  <phoneticPr fontId="54" type="noConversion"/>
  <dataValidations count="1">
    <dataValidation type="list" allowBlank="1" showInputMessage="1" showErrorMessage="1" sqref="C5">
      <formula1>版本名称</formula1>
    </dataValidation>
  </dataValidations>
  <pageMargins left="0.75" right="0.75" top="1" bottom="1" header="0.5" footer="0.5"/>
  <pageSetup paperSize="9" orientation="portrait" horizontalDpi="300" verticalDpi="300" r:id="rId1"/>
  <headerFooter alignWithMargins="0"/>
  <drawing r:id="rId2"/>
  <legacyDrawing r:id="rId3"/>
  <controls>
    <mc:AlternateContent xmlns:mc="http://schemas.openxmlformats.org/markup-compatibility/2006">
      <mc:Choice Requires="x14">
        <control shapeId="62466" r:id="rId4" name="CommandButton2">
          <controlPr autoLine="0" r:id="rId5">
            <anchor moveWithCells="1">
              <from>
                <xdr:col>14</xdr:col>
                <xdr:colOff>28575</xdr:colOff>
                <xdr:row>0</xdr:row>
                <xdr:rowOff>0</xdr:rowOff>
              </from>
              <to>
                <xdr:col>17</xdr:col>
                <xdr:colOff>190500</xdr:colOff>
                <xdr:row>1</xdr:row>
                <xdr:rowOff>123825</xdr:rowOff>
              </to>
            </anchor>
          </controlPr>
        </control>
      </mc:Choice>
      <mc:Fallback>
        <control shapeId="62466" r:id="rId4" name="CommandButton2"/>
      </mc:Fallback>
    </mc:AlternateContent>
    <mc:AlternateContent xmlns:mc="http://schemas.openxmlformats.org/markup-compatibility/2006">
      <mc:Choice Requires="x14">
        <control shapeId="62465" r:id="rId6" name="CommandButton1">
          <controlPr autoLine="0" r:id="rId7">
            <anchor moveWithCells="1">
              <from>
                <xdr:col>10</xdr:col>
                <xdr:colOff>9525</xdr:colOff>
                <xdr:row>0</xdr:row>
                <xdr:rowOff>0</xdr:rowOff>
              </from>
              <to>
                <xdr:col>13</xdr:col>
                <xdr:colOff>171450</xdr:colOff>
                <xdr:row>1</xdr:row>
                <xdr:rowOff>123825</xdr:rowOff>
              </to>
            </anchor>
          </controlPr>
        </control>
      </mc:Choice>
      <mc:Fallback>
        <control shapeId="62465" r:id="rId6" name="CommandButton1"/>
      </mc:Fallback>
    </mc:AlternateContent>
  </control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dimension ref="B2:G33"/>
  <sheetViews>
    <sheetView topLeftCell="B1" workbookViewId="0">
      <selection activeCell="M3" sqref="M3"/>
    </sheetView>
  </sheetViews>
  <sheetFormatPr defaultColWidth="4.5703125" defaultRowHeight="12.75" x14ac:dyDescent="0.2"/>
  <cols>
    <col min="1" max="1" width="0" hidden="1" customWidth="1"/>
    <col min="2" max="3" width="18.7109375" customWidth="1"/>
    <col min="4" max="4" width="48.7109375" customWidth="1"/>
    <col min="5" max="7" width="12.7109375" customWidth="1"/>
  </cols>
  <sheetData>
    <row r="2" spans="2:7" ht="37.5" customHeight="1" x14ac:dyDescent="0.2">
      <c r="B2" s="242" t="s">
        <v>211</v>
      </c>
      <c r="C2" s="242"/>
      <c r="D2" s="242"/>
      <c r="E2" s="242"/>
      <c r="F2" s="242"/>
      <c r="G2" s="242"/>
    </row>
    <row r="3" spans="2:7" ht="125.25" customHeight="1" x14ac:dyDescent="0.2">
      <c r="B3" s="243" t="s">
        <v>212</v>
      </c>
      <c r="C3" s="243"/>
      <c r="D3" s="243"/>
      <c r="E3" s="243"/>
      <c r="F3" s="243"/>
      <c r="G3" s="243"/>
    </row>
    <row r="4" spans="2:7" ht="13.5" customHeight="1" x14ac:dyDescent="0.2">
      <c r="B4" s="81"/>
      <c r="C4" s="82"/>
      <c r="D4" s="244"/>
      <c r="E4" s="245"/>
      <c r="F4" s="245"/>
      <c r="G4" s="246"/>
    </row>
    <row r="5" spans="2:7" ht="14.25" x14ac:dyDescent="0.3">
      <c r="B5" s="83" t="s">
        <v>14</v>
      </c>
      <c r="C5" s="72" t="s">
        <v>207</v>
      </c>
      <c r="D5" s="84"/>
      <c r="E5" s="85"/>
      <c r="F5" s="85"/>
      <c r="G5" s="86"/>
    </row>
    <row r="6" spans="2:7" ht="14.25" customHeight="1" x14ac:dyDescent="0.3">
      <c r="B6" s="78" t="s">
        <v>154</v>
      </c>
      <c r="C6" s="87">
        <f>COUNTIF(ISR清单!I4:I47,"待分析")</f>
        <v>0</v>
      </c>
      <c r="D6" s="84"/>
      <c r="E6" s="85"/>
      <c r="F6" s="85"/>
      <c r="G6" s="86"/>
    </row>
    <row r="7" spans="2:7" ht="14.25" customHeight="1" x14ac:dyDescent="0.3">
      <c r="B7" s="78" t="s">
        <v>146</v>
      </c>
      <c r="C7" s="87">
        <f>COUNTIF(ISR清单!I4:I47,"待排期")</f>
        <v>3</v>
      </c>
      <c r="D7" s="84"/>
      <c r="E7" s="85"/>
      <c r="F7" s="85"/>
      <c r="G7" s="86"/>
    </row>
    <row r="8" spans="2:7" ht="14.25" customHeight="1" x14ac:dyDescent="0.3">
      <c r="B8" s="78" t="s">
        <v>147</v>
      </c>
      <c r="C8" s="87">
        <f>COUNTIF(ISR清单!I4:I47,"已挂起")</f>
        <v>0</v>
      </c>
      <c r="D8" s="84"/>
      <c r="E8" s="85"/>
      <c r="F8" s="85"/>
      <c r="G8" s="86"/>
    </row>
    <row r="9" spans="2:7" ht="14.25" customHeight="1" x14ac:dyDescent="0.3">
      <c r="B9" s="78" t="s">
        <v>148</v>
      </c>
      <c r="C9" s="87"/>
      <c r="D9" s="84"/>
      <c r="E9" s="85"/>
      <c r="F9" s="85"/>
      <c r="G9" s="86"/>
    </row>
    <row r="10" spans="2:7" s="50" customFormat="1" ht="12.75" customHeight="1" x14ac:dyDescent="0.2">
      <c r="B10" s="69" t="s">
        <v>17</v>
      </c>
      <c r="C10" s="88"/>
      <c r="D10" s="89"/>
      <c r="E10" s="85"/>
      <c r="F10" s="85"/>
      <c r="G10" s="86"/>
    </row>
    <row r="11" spans="2:7" ht="14.25" customHeight="1" x14ac:dyDescent="0.2">
      <c r="B11" s="90"/>
      <c r="C11" s="91"/>
      <c r="D11" s="91"/>
      <c r="E11" s="92"/>
      <c r="F11" s="92"/>
      <c r="G11" s="93"/>
    </row>
    <row r="12" spans="2:7" ht="14.25" x14ac:dyDescent="0.3">
      <c r="B12" s="74" t="s">
        <v>18</v>
      </c>
      <c r="C12" s="74" t="s">
        <v>59</v>
      </c>
      <c r="D12" s="74" t="s">
        <v>58</v>
      </c>
      <c r="E12" s="73"/>
      <c r="F12" s="70"/>
      <c r="G12" s="94"/>
    </row>
    <row r="13" spans="2:7" ht="28.5" x14ac:dyDescent="0.3">
      <c r="B13" s="95" t="s">
        <v>75</v>
      </c>
      <c r="C13" s="96">
        <v>43171</v>
      </c>
      <c r="D13" s="96">
        <v>43171</v>
      </c>
      <c r="E13" s="97"/>
      <c r="F13" s="85"/>
      <c r="G13" s="86"/>
    </row>
    <row r="14" spans="2:7" ht="14.25" x14ac:dyDescent="0.3">
      <c r="B14" s="98" t="s">
        <v>74</v>
      </c>
      <c r="C14" s="96">
        <v>43171</v>
      </c>
      <c r="D14" s="96">
        <v>43173</v>
      </c>
      <c r="E14" s="84"/>
      <c r="F14" s="85"/>
      <c r="G14" s="86"/>
    </row>
    <row r="15" spans="2:7" ht="14.25" x14ac:dyDescent="0.3">
      <c r="B15" s="95" t="s">
        <v>73</v>
      </c>
      <c r="C15" s="96">
        <v>43172</v>
      </c>
      <c r="D15" s="96">
        <v>43173</v>
      </c>
      <c r="E15" s="97"/>
      <c r="F15" s="85"/>
      <c r="G15" s="86"/>
    </row>
    <row r="16" spans="2:7" ht="14.25" x14ac:dyDescent="0.3">
      <c r="B16" s="98" t="s">
        <v>19</v>
      </c>
      <c r="C16" s="96">
        <v>43174</v>
      </c>
      <c r="D16" s="96">
        <v>43174</v>
      </c>
      <c r="E16" s="97"/>
      <c r="F16" s="85"/>
      <c r="G16" s="86"/>
    </row>
    <row r="17" spans="2:7" ht="14.25" x14ac:dyDescent="0.2">
      <c r="B17" s="99" t="s">
        <v>68</v>
      </c>
      <c r="C17" s="79"/>
      <c r="D17" s="79"/>
      <c r="E17" s="79"/>
      <c r="F17" s="79"/>
      <c r="G17" s="100"/>
    </row>
    <row r="18" spans="2:7" ht="28.5" x14ac:dyDescent="0.2">
      <c r="B18" s="75" t="s">
        <v>187</v>
      </c>
      <c r="C18" s="76" t="s">
        <v>44</v>
      </c>
      <c r="D18" s="75" t="s">
        <v>46</v>
      </c>
      <c r="E18" s="75" t="s">
        <v>48</v>
      </c>
      <c r="F18" s="77" t="s">
        <v>189</v>
      </c>
      <c r="G18" s="75" t="s">
        <v>188</v>
      </c>
    </row>
    <row r="19" spans="2:7" ht="43.5" customHeight="1" x14ac:dyDescent="0.2">
      <c r="B19" s="80" t="s">
        <v>204</v>
      </c>
      <c r="C19" s="101">
        <v>43119</v>
      </c>
      <c r="D19" s="80" t="s">
        <v>209</v>
      </c>
      <c r="E19" s="80" t="s">
        <v>178</v>
      </c>
      <c r="F19" s="80" t="s">
        <v>179</v>
      </c>
      <c r="G19" s="80"/>
    </row>
    <row r="20" spans="2:7" ht="14.25" customHeight="1" x14ac:dyDescent="0.2">
      <c r="B20" s="80"/>
      <c r="C20" s="101"/>
      <c r="D20" s="80"/>
      <c r="E20" s="80"/>
      <c r="F20" s="80"/>
      <c r="G20" s="80"/>
    </row>
    <row r="21" spans="2:7" ht="14.25" customHeight="1" x14ac:dyDescent="0.2">
      <c r="B21" s="80"/>
      <c r="C21" s="101"/>
      <c r="D21" s="80"/>
      <c r="E21" s="80"/>
      <c r="F21" s="80"/>
      <c r="G21" s="80"/>
    </row>
    <row r="22" spans="2:7" ht="14.25" customHeight="1" x14ac:dyDescent="0.2">
      <c r="B22" s="80"/>
      <c r="C22" s="101"/>
      <c r="D22" s="80"/>
      <c r="E22" s="80"/>
      <c r="F22" s="80"/>
      <c r="G22" s="80"/>
    </row>
    <row r="23" spans="2:7" ht="14.25" customHeight="1" x14ac:dyDescent="0.2">
      <c r="B23" s="80"/>
      <c r="C23" s="101"/>
      <c r="D23" s="80"/>
      <c r="E23" s="80"/>
      <c r="F23" s="80"/>
      <c r="G23" s="80"/>
    </row>
    <row r="24" spans="2:7" x14ac:dyDescent="0.2">
      <c r="B24" s="80"/>
      <c r="C24" s="101"/>
      <c r="D24" s="80"/>
      <c r="E24" s="80"/>
      <c r="F24" s="80"/>
      <c r="G24" s="80"/>
    </row>
    <row r="25" spans="2:7" ht="25.5" customHeight="1" x14ac:dyDescent="0.2">
      <c r="B25" s="247" t="s">
        <v>69</v>
      </c>
      <c r="C25" s="248"/>
      <c r="D25" s="248"/>
      <c r="E25" s="248"/>
      <c r="F25" s="248"/>
      <c r="G25" s="249"/>
    </row>
    <row r="26" spans="2:7" ht="28.5" x14ac:dyDescent="0.2">
      <c r="B26" s="75" t="s">
        <v>51</v>
      </c>
      <c r="C26" s="75" t="s">
        <v>52</v>
      </c>
      <c r="D26" s="75" t="s">
        <v>54</v>
      </c>
      <c r="E26" s="75" t="s">
        <v>102</v>
      </c>
      <c r="F26" s="75" t="s">
        <v>99</v>
      </c>
      <c r="G26" s="75" t="s">
        <v>49</v>
      </c>
    </row>
    <row r="27" spans="2:7" ht="14.25" x14ac:dyDescent="0.3">
      <c r="B27" s="78"/>
      <c r="C27" s="96"/>
      <c r="D27" s="78"/>
      <c r="E27" s="87"/>
      <c r="F27" s="78"/>
      <c r="G27" s="78"/>
    </row>
    <row r="28" spans="2:7" ht="23.25" customHeight="1" x14ac:dyDescent="0.2">
      <c r="B28" s="247" t="s">
        <v>70</v>
      </c>
      <c r="C28" s="248"/>
      <c r="D28" s="248"/>
      <c r="E28" s="248"/>
      <c r="F28" s="248"/>
      <c r="G28" s="249"/>
    </row>
    <row r="29" spans="2:7" ht="14.25" x14ac:dyDescent="0.2">
      <c r="B29" s="75" t="s">
        <v>67</v>
      </c>
      <c r="C29" s="75" t="s">
        <v>14</v>
      </c>
      <c r="D29" s="75" t="s">
        <v>66</v>
      </c>
      <c r="E29" s="250" t="s">
        <v>97</v>
      </c>
      <c r="F29" s="251"/>
      <c r="G29" s="75" t="s">
        <v>16</v>
      </c>
    </row>
    <row r="30" spans="2:7" x14ac:dyDescent="0.2">
      <c r="B30" s="55"/>
      <c r="C30" s="55"/>
      <c r="D30" s="102"/>
      <c r="E30" s="236"/>
      <c r="F30" s="237"/>
      <c r="G30" s="103"/>
    </row>
    <row r="31" spans="2:7" x14ac:dyDescent="0.2">
      <c r="B31" s="104"/>
      <c r="C31" s="55"/>
      <c r="D31" s="102"/>
      <c r="E31" s="238"/>
      <c r="F31" s="239"/>
      <c r="G31" s="103"/>
    </row>
    <row r="32" spans="2:7" x14ac:dyDescent="0.2">
      <c r="B32" s="55"/>
      <c r="C32" s="55"/>
      <c r="D32" s="55"/>
      <c r="E32" s="240"/>
      <c r="F32" s="237"/>
      <c r="G32" s="55"/>
    </row>
    <row r="33" spans="2:7" ht="88.5" customHeight="1" x14ac:dyDescent="0.2">
      <c r="B33" s="105" t="s">
        <v>62</v>
      </c>
      <c r="C33" s="241" t="s">
        <v>210</v>
      </c>
      <c r="D33" s="241"/>
      <c r="E33" s="241"/>
      <c r="F33" s="241"/>
      <c r="G33" s="241"/>
    </row>
  </sheetData>
  <mergeCells count="10">
    <mergeCell ref="E30:F30"/>
    <mergeCell ref="E31:F31"/>
    <mergeCell ref="E32:F32"/>
    <mergeCell ref="C33:G33"/>
    <mergeCell ref="B2:G2"/>
    <mergeCell ref="B3:G3"/>
    <mergeCell ref="D4:G4"/>
    <mergeCell ref="B25:G25"/>
    <mergeCell ref="B28:G28"/>
    <mergeCell ref="E29:F29"/>
  </mergeCells>
  <phoneticPr fontId="1" type="noConversion"/>
  <dataValidations count="1">
    <dataValidation type="list" allowBlank="1" showInputMessage="1" showErrorMessage="1" sqref="C5">
      <formula1>版本名称</formula1>
    </dataValidation>
  </dataValidations>
  <pageMargins left="0.75" right="0.75" top="1" bottom="1" header="0.5" footer="0.5"/>
  <pageSetup paperSize="9" orientation="portrait" horizontalDpi="300" verticalDpi="300" r:id="rId1"/>
  <headerFooter alignWithMargins="0"/>
  <drawing r:id="rId2"/>
  <legacyDrawing r:id="rId3"/>
  <controls>
    <mc:AlternateContent xmlns:mc="http://schemas.openxmlformats.org/markup-compatibility/2006">
      <mc:Choice Requires="x14">
        <control shapeId="61442" r:id="rId4" name="CommandButton2">
          <controlPr autoLine="0" r:id="rId5">
            <anchor moveWithCells="1">
              <from>
                <xdr:col>14</xdr:col>
                <xdr:colOff>28575</xdr:colOff>
                <xdr:row>0</xdr:row>
                <xdr:rowOff>0</xdr:rowOff>
              </from>
              <to>
                <xdr:col>17</xdr:col>
                <xdr:colOff>190500</xdr:colOff>
                <xdr:row>1</xdr:row>
                <xdr:rowOff>123825</xdr:rowOff>
              </to>
            </anchor>
          </controlPr>
        </control>
      </mc:Choice>
      <mc:Fallback>
        <control shapeId="61442" r:id="rId4" name="CommandButton2"/>
      </mc:Fallback>
    </mc:AlternateContent>
    <mc:AlternateContent xmlns:mc="http://schemas.openxmlformats.org/markup-compatibility/2006">
      <mc:Choice Requires="x14">
        <control shapeId="61441" r:id="rId6" name="CommandButton1">
          <controlPr autoLine="0" r:id="rId7">
            <anchor moveWithCells="1">
              <from>
                <xdr:col>10</xdr:col>
                <xdr:colOff>9525</xdr:colOff>
                <xdr:row>0</xdr:row>
                <xdr:rowOff>0</xdr:rowOff>
              </from>
              <to>
                <xdr:col>13</xdr:col>
                <xdr:colOff>171450</xdr:colOff>
                <xdr:row>1</xdr:row>
                <xdr:rowOff>123825</xdr:rowOff>
              </to>
            </anchor>
          </controlPr>
        </control>
      </mc:Choice>
      <mc:Fallback>
        <control shapeId="61441" r:id="rId6" name="CommandButton1"/>
      </mc:Fallback>
    </mc:AlternateContent>
  </controls>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dimension ref="B2:G32"/>
  <sheetViews>
    <sheetView topLeftCell="B20" workbookViewId="0">
      <selection activeCell="L32" sqref="L32"/>
    </sheetView>
  </sheetViews>
  <sheetFormatPr defaultColWidth="4.5703125" defaultRowHeight="12.75" x14ac:dyDescent="0.2"/>
  <cols>
    <col min="1" max="1" width="0" hidden="1" customWidth="1"/>
    <col min="2" max="3" width="18.7109375" customWidth="1"/>
    <col min="4" max="4" width="48.7109375" customWidth="1"/>
    <col min="5" max="7" width="12.7109375" customWidth="1"/>
  </cols>
  <sheetData>
    <row r="2" spans="2:7" ht="37.5" customHeight="1" x14ac:dyDescent="0.2">
      <c r="B2" s="242" t="s">
        <v>203</v>
      </c>
      <c r="C2" s="242"/>
      <c r="D2" s="242"/>
      <c r="E2" s="242"/>
      <c r="F2" s="242"/>
      <c r="G2" s="242"/>
    </row>
    <row r="3" spans="2:7" ht="125.25" customHeight="1" x14ac:dyDescent="0.2">
      <c r="B3" s="243" t="s">
        <v>202</v>
      </c>
      <c r="C3" s="243"/>
      <c r="D3" s="243"/>
      <c r="E3" s="243"/>
      <c r="F3" s="243"/>
      <c r="G3" s="243"/>
    </row>
    <row r="4" spans="2:7" ht="13.5" customHeight="1" x14ac:dyDescent="0.2">
      <c r="B4" s="81"/>
      <c r="C4" s="82"/>
      <c r="D4" s="244"/>
      <c r="E4" s="245"/>
      <c r="F4" s="245"/>
      <c r="G4" s="246"/>
    </row>
    <row r="5" spans="2:7" ht="14.25" x14ac:dyDescent="0.3">
      <c r="B5" s="83" t="s">
        <v>14</v>
      </c>
      <c r="C5" s="72" t="s">
        <v>200</v>
      </c>
      <c r="D5" s="84"/>
      <c r="E5" s="85"/>
      <c r="F5" s="85"/>
      <c r="G5" s="86"/>
    </row>
    <row r="6" spans="2:7" ht="14.25" customHeight="1" x14ac:dyDescent="0.3">
      <c r="B6" s="78" t="s">
        <v>154</v>
      </c>
      <c r="C6" s="87">
        <f>COUNTIF(ISR清单!I4:I47,"待分析")</f>
        <v>0</v>
      </c>
      <c r="D6" s="84"/>
      <c r="E6" s="85"/>
      <c r="F6" s="85"/>
      <c r="G6" s="86"/>
    </row>
    <row r="7" spans="2:7" ht="14.25" customHeight="1" x14ac:dyDescent="0.3">
      <c r="B7" s="78" t="s">
        <v>146</v>
      </c>
      <c r="C7" s="87">
        <f>COUNTIF(ISR清单!I4:I47,"待排期")</f>
        <v>3</v>
      </c>
      <c r="D7" s="84"/>
      <c r="E7" s="85"/>
      <c r="F7" s="85"/>
      <c r="G7" s="86"/>
    </row>
    <row r="8" spans="2:7" ht="14.25" customHeight="1" x14ac:dyDescent="0.3">
      <c r="B8" s="78" t="s">
        <v>147</v>
      </c>
      <c r="C8" s="87">
        <f>COUNTIF(ISR清单!I4:I47,"已挂起")</f>
        <v>0</v>
      </c>
      <c r="D8" s="84"/>
      <c r="E8" s="85"/>
      <c r="F8" s="85"/>
      <c r="G8" s="86"/>
    </row>
    <row r="9" spans="2:7" ht="14.25" customHeight="1" x14ac:dyDescent="0.3">
      <c r="B9" s="78" t="s">
        <v>148</v>
      </c>
      <c r="C9" s="87"/>
      <c r="D9" s="84"/>
      <c r="E9" s="85"/>
      <c r="F9" s="85"/>
      <c r="G9" s="86"/>
    </row>
    <row r="10" spans="2:7" s="50" customFormat="1" ht="12.75" customHeight="1" x14ac:dyDescent="0.2">
      <c r="B10" s="69" t="s">
        <v>17</v>
      </c>
      <c r="C10" s="88"/>
      <c r="D10" s="89"/>
      <c r="E10" s="85"/>
      <c r="F10" s="85"/>
      <c r="G10" s="86"/>
    </row>
    <row r="11" spans="2:7" ht="14.25" customHeight="1" x14ac:dyDescent="0.2">
      <c r="B11" s="90"/>
      <c r="C11" s="91"/>
      <c r="D11" s="91"/>
      <c r="E11" s="92"/>
      <c r="F11" s="92"/>
      <c r="G11" s="93"/>
    </row>
    <row r="12" spans="2:7" ht="14.25" x14ac:dyDescent="0.3">
      <c r="B12" s="74" t="s">
        <v>18</v>
      </c>
      <c r="C12" s="74" t="s">
        <v>59</v>
      </c>
      <c r="D12" s="74" t="s">
        <v>58</v>
      </c>
      <c r="E12" s="73"/>
      <c r="F12" s="70"/>
      <c r="G12" s="94"/>
    </row>
    <row r="13" spans="2:7" ht="28.5" x14ac:dyDescent="0.3">
      <c r="B13" s="95" t="s">
        <v>75</v>
      </c>
      <c r="C13" s="96">
        <v>43045</v>
      </c>
      <c r="D13" s="96">
        <v>43045</v>
      </c>
      <c r="E13" s="97"/>
      <c r="F13" s="85"/>
      <c r="G13" s="86"/>
    </row>
    <row r="14" spans="2:7" ht="14.25" x14ac:dyDescent="0.3">
      <c r="B14" s="98" t="s">
        <v>74</v>
      </c>
      <c r="C14" s="96">
        <v>43045</v>
      </c>
      <c r="D14" s="96">
        <v>43049</v>
      </c>
      <c r="E14" s="84"/>
      <c r="F14" s="85"/>
      <c r="G14" s="86"/>
    </row>
    <row r="15" spans="2:7" ht="14.25" x14ac:dyDescent="0.3">
      <c r="B15" s="95" t="s">
        <v>73</v>
      </c>
      <c r="C15" s="96">
        <v>43047</v>
      </c>
      <c r="D15" s="96">
        <v>43049</v>
      </c>
      <c r="E15" s="97"/>
      <c r="F15" s="85"/>
      <c r="G15" s="86"/>
    </row>
    <row r="16" spans="2:7" ht="14.25" x14ac:dyDescent="0.3">
      <c r="B16" s="98" t="s">
        <v>19</v>
      </c>
      <c r="C16" s="96">
        <v>43052</v>
      </c>
      <c r="D16" s="96">
        <v>43052</v>
      </c>
      <c r="E16" s="97"/>
      <c r="F16" s="85"/>
      <c r="G16" s="86"/>
    </row>
    <row r="17" spans="2:7" ht="14.25" x14ac:dyDescent="0.2">
      <c r="B17" s="99" t="s">
        <v>68</v>
      </c>
      <c r="C17" s="79"/>
      <c r="D17" s="79"/>
      <c r="E17" s="79"/>
      <c r="F17" s="79"/>
      <c r="G17" s="100"/>
    </row>
    <row r="18" spans="2:7" ht="28.5" x14ac:dyDescent="0.2">
      <c r="B18" s="75" t="s">
        <v>187</v>
      </c>
      <c r="C18" s="76" t="s">
        <v>44</v>
      </c>
      <c r="D18" s="75" t="s">
        <v>46</v>
      </c>
      <c r="E18" s="75" t="s">
        <v>48</v>
      </c>
      <c r="F18" s="77" t="s">
        <v>189</v>
      </c>
      <c r="G18" s="75" t="s">
        <v>188</v>
      </c>
    </row>
    <row r="19" spans="2:7" ht="14.25" customHeight="1" x14ac:dyDescent="0.2">
      <c r="B19" s="80" t="s">
        <v>195</v>
      </c>
      <c r="C19" s="101">
        <v>43024</v>
      </c>
      <c r="D19" s="80" t="s">
        <v>201</v>
      </c>
      <c r="E19" s="80" t="s">
        <v>178</v>
      </c>
      <c r="F19" s="80" t="s">
        <v>179</v>
      </c>
      <c r="G19" s="80"/>
    </row>
    <row r="20" spans="2:7" ht="14.25" customHeight="1" x14ac:dyDescent="0.2">
      <c r="B20" s="80"/>
      <c r="C20" s="101"/>
      <c r="D20" s="80"/>
      <c r="E20" s="80"/>
      <c r="F20" s="80"/>
      <c r="G20" s="80"/>
    </row>
    <row r="21" spans="2:7" ht="14.25" customHeight="1" x14ac:dyDescent="0.2">
      <c r="B21" s="80"/>
      <c r="C21" s="101"/>
      <c r="D21" s="80"/>
      <c r="E21" s="80"/>
      <c r="F21" s="80"/>
      <c r="G21" s="80"/>
    </row>
    <row r="22" spans="2:7" ht="14.25" customHeight="1" x14ac:dyDescent="0.2">
      <c r="B22" s="80"/>
      <c r="C22" s="101"/>
      <c r="D22" s="80"/>
      <c r="E22" s="80"/>
      <c r="F22" s="80"/>
      <c r="G22" s="80"/>
    </row>
    <row r="23" spans="2:7" x14ac:dyDescent="0.2">
      <c r="B23" s="80"/>
      <c r="C23" s="101"/>
      <c r="D23" s="80"/>
      <c r="E23" s="80"/>
      <c r="F23" s="80"/>
      <c r="G23" s="80"/>
    </row>
    <row r="24" spans="2:7" ht="25.5" customHeight="1" x14ac:dyDescent="0.2">
      <c r="B24" s="247" t="s">
        <v>69</v>
      </c>
      <c r="C24" s="248"/>
      <c r="D24" s="248"/>
      <c r="E24" s="248"/>
      <c r="F24" s="248"/>
      <c r="G24" s="249"/>
    </row>
    <row r="25" spans="2:7" ht="28.5" x14ac:dyDescent="0.2">
      <c r="B25" s="75" t="s">
        <v>51</v>
      </c>
      <c r="C25" s="75" t="s">
        <v>52</v>
      </c>
      <c r="D25" s="75" t="s">
        <v>54</v>
      </c>
      <c r="E25" s="75" t="s">
        <v>102</v>
      </c>
      <c r="F25" s="75" t="s">
        <v>99</v>
      </c>
      <c r="G25" s="75" t="s">
        <v>49</v>
      </c>
    </row>
    <row r="26" spans="2:7" ht="14.25" x14ac:dyDescent="0.3">
      <c r="B26" s="78"/>
      <c r="C26" s="96"/>
      <c r="D26" s="78"/>
      <c r="E26" s="87"/>
      <c r="F26" s="78"/>
      <c r="G26" s="78"/>
    </row>
    <row r="27" spans="2:7" ht="23.25" customHeight="1" x14ac:dyDescent="0.2">
      <c r="B27" s="247" t="s">
        <v>70</v>
      </c>
      <c r="C27" s="248"/>
      <c r="D27" s="248"/>
      <c r="E27" s="248"/>
      <c r="F27" s="248"/>
      <c r="G27" s="249"/>
    </row>
    <row r="28" spans="2:7" ht="14.25" x14ac:dyDescent="0.2">
      <c r="B28" s="75" t="s">
        <v>67</v>
      </c>
      <c r="C28" s="75" t="s">
        <v>14</v>
      </c>
      <c r="D28" s="75" t="s">
        <v>66</v>
      </c>
      <c r="E28" s="250" t="s">
        <v>97</v>
      </c>
      <c r="F28" s="251"/>
      <c r="G28" s="75" t="s">
        <v>16</v>
      </c>
    </row>
    <row r="29" spans="2:7" x14ac:dyDescent="0.2">
      <c r="B29" s="55"/>
      <c r="C29" s="55"/>
      <c r="D29" s="102"/>
      <c r="E29" s="236"/>
      <c r="F29" s="237"/>
      <c r="G29" s="103"/>
    </row>
    <row r="30" spans="2:7" x14ac:dyDescent="0.2">
      <c r="B30" s="104"/>
      <c r="C30" s="55"/>
      <c r="D30" s="102"/>
      <c r="E30" s="238"/>
      <c r="F30" s="239"/>
      <c r="G30" s="103"/>
    </row>
    <row r="31" spans="2:7" x14ac:dyDescent="0.2">
      <c r="B31" s="55"/>
      <c r="C31" s="55"/>
      <c r="D31" s="55"/>
      <c r="E31" s="240"/>
      <c r="F31" s="237"/>
      <c r="G31" s="55"/>
    </row>
    <row r="32" spans="2:7" ht="88.5" customHeight="1" x14ac:dyDescent="0.2">
      <c r="B32" s="105" t="s">
        <v>62</v>
      </c>
      <c r="C32" s="241" t="s">
        <v>210</v>
      </c>
      <c r="D32" s="241"/>
      <c r="E32" s="241"/>
      <c r="F32" s="241"/>
      <c r="G32" s="241"/>
    </row>
  </sheetData>
  <mergeCells count="10">
    <mergeCell ref="E29:F29"/>
    <mergeCell ref="E30:F30"/>
    <mergeCell ref="E31:F31"/>
    <mergeCell ref="C32:G32"/>
    <mergeCell ref="B2:G2"/>
    <mergeCell ref="B3:G3"/>
    <mergeCell ref="D4:G4"/>
    <mergeCell ref="B24:G24"/>
    <mergeCell ref="B27:G27"/>
    <mergeCell ref="E28:F28"/>
  </mergeCells>
  <phoneticPr fontId="51" type="noConversion"/>
  <dataValidations count="1">
    <dataValidation type="list" allowBlank="1" showInputMessage="1" showErrorMessage="1" sqref="C5">
      <formula1>版本名称</formula1>
    </dataValidation>
  </dataValidations>
  <pageMargins left="0.75" right="0.75" top="1" bottom="1" header="0.5" footer="0.5"/>
  <pageSetup paperSize="9" orientation="portrait" horizontalDpi="300" verticalDpi="300" r:id="rId1"/>
  <headerFooter alignWithMargins="0"/>
  <drawing r:id="rId2"/>
  <legacyDrawing r:id="rId3"/>
  <controls>
    <mc:AlternateContent xmlns:mc="http://schemas.openxmlformats.org/markup-compatibility/2006">
      <mc:Choice Requires="x14">
        <control shapeId="59394" r:id="rId4" name="CommandButton2">
          <controlPr autoLine="0" r:id="rId5">
            <anchor moveWithCells="1">
              <from>
                <xdr:col>14</xdr:col>
                <xdr:colOff>28575</xdr:colOff>
                <xdr:row>0</xdr:row>
                <xdr:rowOff>0</xdr:rowOff>
              </from>
              <to>
                <xdr:col>17</xdr:col>
                <xdr:colOff>190500</xdr:colOff>
                <xdr:row>1</xdr:row>
                <xdr:rowOff>123825</xdr:rowOff>
              </to>
            </anchor>
          </controlPr>
        </control>
      </mc:Choice>
      <mc:Fallback>
        <control shapeId="59394" r:id="rId4" name="CommandButton2"/>
      </mc:Fallback>
    </mc:AlternateContent>
    <mc:AlternateContent xmlns:mc="http://schemas.openxmlformats.org/markup-compatibility/2006">
      <mc:Choice Requires="x14">
        <control shapeId="59393" r:id="rId6" name="CommandButton1">
          <controlPr autoLine="0" r:id="rId7">
            <anchor moveWithCells="1">
              <from>
                <xdr:col>10</xdr:col>
                <xdr:colOff>9525</xdr:colOff>
                <xdr:row>0</xdr:row>
                <xdr:rowOff>0</xdr:rowOff>
              </from>
              <to>
                <xdr:col>13</xdr:col>
                <xdr:colOff>171450</xdr:colOff>
                <xdr:row>1</xdr:row>
                <xdr:rowOff>123825</xdr:rowOff>
              </to>
            </anchor>
          </controlPr>
        </control>
      </mc:Choice>
      <mc:Fallback>
        <control shapeId="59393" r:id="rId6" name="CommandButton1"/>
      </mc:Fallback>
    </mc:AlternateContent>
  </controls>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B2:G31"/>
  <sheetViews>
    <sheetView topLeftCell="B5" workbookViewId="0">
      <selection activeCell="B3" sqref="B3:G3"/>
    </sheetView>
  </sheetViews>
  <sheetFormatPr defaultColWidth="4.5703125" defaultRowHeight="12.75" x14ac:dyDescent="0.2"/>
  <cols>
    <col min="1" max="1" width="0" hidden="1" customWidth="1"/>
    <col min="2" max="3" width="18.7109375" customWidth="1"/>
    <col min="4" max="4" width="48.7109375" customWidth="1"/>
    <col min="5" max="7" width="12.7109375" customWidth="1"/>
  </cols>
  <sheetData>
    <row r="2" spans="2:7" ht="37.5" customHeight="1" x14ac:dyDescent="0.2">
      <c r="B2" s="242" t="s">
        <v>193</v>
      </c>
      <c r="C2" s="242"/>
      <c r="D2" s="242"/>
      <c r="E2" s="242"/>
      <c r="F2" s="242"/>
      <c r="G2" s="242"/>
    </row>
    <row r="3" spans="2:7" ht="125.25" customHeight="1" x14ac:dyDescent="0.2">
      <c r="B3" s="243" t="s">
        <v>194</v>
      </c>
      <c r="C3" s="243"/>
      <c r="D3" s="243"/>
      <c r="E3" s="243"/>
      <c r="F3" s="243"/>
      <c r="G3" s="243"/>
    </row>
    <row r="4" spans="2:7" ht="13.5" customHeight="1" x14ac:dyDescent="0.2">
      <c r="B4" s="81"/>
      <c r="C4" s="82"/>
      <c r="D4" s="244"/>
      <c r="E4" s="245"/>
      <c r="F4" s="245"/>
      <c r="G4" s="246"/>
    </row>
    <row r="5" spans="2:7" ht="14.25" x14ac:dyDescent="0.3">
      <c r="B5" s="83" t="s">
        <v>14</v>
      </c>
      <c r="C5" s="72" t="s">
        <v>192</v>
      </c>
      <c r="D5" s="84"/>
      <c r="E5" s="85"/>
      <c r="F5" s="85"/>
      <c r="G5" s="86"/>
    </row>
    <row r="6" spans="2:7" ht="14.25" customHeight="1" x14ac:dyDescent="0.3">
      <c r="B6" s="78" t="s">
        <v>154</v>
      </c>
      <c r="C6" s="87">
        <f>COUNTIF(ISR清单!I4:I47,"待分析")</f>
        <v>0</v>
      </c>
      <c r="D6" s="84"/>
      <c r="E6" s="85"/>
      <c r="F6" s="85"/>
      <c r="G6" s="86"/>
    </row>
    <row r="7" spans="2:7" ht="14.25" customHeight="1" x14ac:dyDescent="0.3">
      <c r="B7" s="78" t="s">
        <v>146</v>
      </c>
      <c r="C7" s="87">
        <f>COUNTIF(ISR清单!I4:I47,"待排期")</f>
        <v>3</v>
      </c>
      <c r="D7" s="84"/>
      <c r="E7" s="85"/>
      <c r="F7" s="85"/>
      <c r="G7" s="86"/>
    </row>
    <row r="8" spans="2:7" ht="14.25" customHeight="1" x14ac:dyDescent="0.3">
      <c r="B8" s="78" t="s">
        <v>147</v>
      </c>
      <c r="C8" s="87">
        <f>COUNTIF(ISR清单!I4:I47,"已挂起")</f>
        <v>0</v>
      </c>
      <c r="D8" s="84"/>
      <c r="E8" s="85"/>
      <c r="F8" s="85"/>
      <c r="G8" s="86"/>
    </row>
    <row r="9" spans="2:7" ht="14.25" customHeight="1" x14ac:dyDescent="0.3">
      <c r="B9" s="78" t="s">
        <v>148</v>
      </c>
      <c r="C9" s="87"/>
      <c r="D9" s="84"/>
      <c r="E9" s="85"/>
      <c r="F9" s="85"/>
      <c r="G9" s="86"/>
    </row>
    <row r="10" spans="2:7" s="50" customFormat="1" ht="12.75" customHeight="1" x14ac:dyDescent="0.2">
      <c r="B10" s="69" t="s">
        <v>17</v>
      </c>
      <c r="C10" s="88"/>
      <c r="D10" s="89"/>
      <c r="E10" s="85"/>
      <c r="F10" s="85"/>
      <c r="G10" s="86"/>
    </row>
    <row r="11" spans="2:7" ht="14.25" customHeight="1" x14ac:dyDescent="0.2">
      <c r="B11" s="90"/>
      <c r="C11" s="91"/>
      <c r="D11" s="91"/>
      <c r="E11" s="92"/>
      <c r="F11" s="92"/>
      <c r="G11" s="93"/>
    </row>
    <row r="12" spans="2:7" ht="14.25" x14ac:dyDescent="0.3">
      <c r="B12" s="74" t="s">
        <v>18</v>
      </c>
      <c r="C12" s="74" t="s">
        <v>59</v>
      </c>
      <c r="D12" s="74" t="s">
        <v>58</v>
      </c>
      <c r="E12" s="73"/>
      <c r="F12" s="70"/>
      <c r="G12" s="94"/>
    </row>
    <row r="13" spans="2:7" ht="28.5" x14ac:dyDescent="0.3">
      <c r="B13" s="95" t="s">
        <v>75</v>
      </c>
      <c r="C13" s="96">
        <v>42950</v>
      </c>
      <c r="D13" s="96">
        <v>42950</v>
      </c>
      <c r="E13" s="97"/>
      <c r="F13" s="85"/>
      <c r="G13" s="86"/>
    </row>
    <row r="14" spans="2:7" ht="14.25" x14ac:dyDescent="0.3">
      <c r="B14" s="98" t="s">
        <v>74</v>
      </c>
      <c r="C14" s="96">
        <v>42950</v>
      </c>
      <c r="D14" s="96">
        <v>42956</v>
      </c>
      <c r="E14" s="84"/>
      <c r="F14" s="85"/>
      <c r="G14" s="86"/>
    </row>
    <row r="15" spans="2:7" ht="14.25" x14ac:dyDescent="0.3">
      <c r="B15" s="95" t="s">
        <v>73</v>
      </c>
      <c r="C15" s="96">
        <v>42954</v>
      </c>
      <c r="D15" s="96">
        <v>42956</v>
      </c>
      <c r="E15" s="97"/>
      <c r="F15" s="85"/>
      <c r="G15" s="86"/>
    </row>
    <row r="16" spans="2:7" ht="14.25" x14ac:dyDescent="0.3">
      <c r="B16" s="98" t="s">
        <v>19</v>
      </c>
      <c r="C16" s="96">
        <v>42957</v>
      </c>
      <c r="D16" s="96">
        <v>42957</v>
      </c>
      <c r="E16" s="97"/>
      <c r="F16" s="85"/>
      <c r="G16" s="86"/>
    </row>
    <row r="17" spans="2:7" ht="14.25" x14ac:dyDescent="0.2">
      <c r="B17" s="99" t="s">
        <v>68</v>
      </c>
      <c r="C17" s="79"/>
      <c r="D17" s="79"/>
      <c r="E17" s="79"/>
      <c r="F17" s="79"/>
      <c r="G17" s="100"/>
    </row>
    <row r="18" spans="2:7" ht="28.5" x14ac:dyDescent="0.2">
      <c r="B18" s="75" t="s">
        <v>187</v>
      </c>
      <c r="C18" s="76" t="s">
        <v>44</v>
      </c>
      <c r="D18" s="75" t="s">
        <v>46</v>
      </c>
      <c r="E18" s="75" t="s">
        <v>48</v>
      </c>
      <c r="F18" s="77" t="s">
        <v>189</v>
      </c>
      <c r="G18" s="75" t="s">
        <v>188</v>
      </c>
    </row>
    <row r="19" spans="2:7" ht="14.25" customHeight="1" x14ac:dyDescent="0.2">
      <c r="B19" s="80" t="s">
        <v>176</v>
      </c>
      <c r="C19" s="101">
        <v>42888</v>
      </c>
      <c r="D19" s="80" t="s">
        <v>177</v>
      </c>
      <c r="E19" s="80" t="s">
        <v>178</v>
      </c>
      <c r="F19" s="80" t="s">
        <v>179</v>
      </c>
      <c r="G19" s="80"/>
    </row>
    <row r="20" spans="2:7" ht="14.25" customHeight="1" x14ac:dyDescent="0.2">
      <c r="B20" s="80"/>
      <c r="C20" s="101"/>
      <c r="D20" s="80"/>
      <c r="E20" s="80"/>
      <c r="F20" s="80"/>
      <c r="G20" s="80"/>
    </row>
    <row r="21" spans="2:7" ht="14.25" customHeight="1" x14ac:dyDescent="0.2">
      <c r="B21" s="80"/>
      <c r="C21" s="101"/>
      <c r="D21" s="80"/>
      <c r="E21" s="80"/>
      <c r="F21" s="80"/>
      <c r="G21" s="80"/>
    </row>
    <row r="22" spans="2:7" x14ac:dyDescent="0.2">
      <c r="B22" s="80"/>
      <c r="C22" s="101"/>
      <c r="D22" s="80"/>
      <c r="E22" s="80"/>
      <c r="F22" s="80"/>
      <c r="G22" s="80"/>
    </row>
    <row r="23" spans="2:7" ht="25.5" customHeight="1" x14ac:dyDescent="0.2">
      <c r="B23" s="247" t="s">
        <v>69</v>
      </c>
      <c r="C23" s="248"/>
      <c r="D23" s="248"/>
      <c r="E23" s="248"/>
      <c r="F23" s="248"/>
      <c r="G23" s="249"/>
    </row>
    <row r="24" spans="2:7" ht="28.5" x14ac:dyDescent="0.2">
      <c r="B24" s="75" t="s">
        <v>51</v>
      </c>
      <c r="C24" s="75" t="s">
        <v>52</v>
      </c>
      <c r="D24" s="75" t="s">
        <v>54</v>
      </c>
      <c r="E24" s="75" t="s">
        <v>102</v>
      </c>
      <c r="F24" s="75" t="s">
        <v>99</v>
      </c>
      <c r="G24" s="75" t="s">
        <v>49</v>
      </c>
    </row>
    <row r="25" spans="2:7" ht="14.25" x14ac:dyDescent="0.3">
      <c r="B25" s="78"/>
      <c r="C25" s="96"/>
      <c r="D25" s="78"/>
      <c r="E25" s="87"/>
      <c r="F25" s="78"/>
      <c r="G25" s="78"/>
    </row>
    <row r="26" spans="2:7" ht="23.25" customHeight="1" x14ac:dyDescent="0.2">
      <c r="B26" s="247" t="s">
        <v>70</v>
      </c>
      <c r="C26" s="248"/>
      <c r="D26" s="248"/>
      <c r="E26" s="248"/>
      <c r="F26" s="248"/>
      <c r="G26" s="249"/>
    </row>
    <row r="27" spans="2:7" ht="14.25" x14ac:dyDescent="0.2">
      <c r="B27" s="75" t="s">
        <v>67</v>
      </c>
      <c r="C27" s="75" t="s">
        <v>14</v>
      </c>
      <c r="D27" s="75" t="s">
        <v>66</v>
      </c>
      <c r="E27" s="250" t="s">
        <v>97</v>
      </c>
      <c r="F27" s="251"/>
      <c r="G27" s="75" t="s">
        <v>16</v>
      </c>
    </row>
    <row r="28" spans="2:7" x14ac:dyDescent="0.2">
      <c r="B28" s="55"/>
      <c r="C28" s="55"/>
      <c r="D28" s="102"/>
      <c r="E28" s="236"/>
      <c r="F28" s="237"/>
      <c r="G28" s="103"/>
    </row>
    <row r="29" spans="2:7" x14ac:dyDescent="0.2">
      <c r="B29" s="104"/>
      <c r="C29" s="55"/>
      <c r="D29" s="102"/>
      <c r="E29" s="238"/>
      <c r="F29" s="239"/>
      <c r="G29" s="103"/>
    </row>
    <row r="30" spans="2:7" x14ac:dyDescent="0.2">
      <c r="B30" s="55"/>
      <c r="C30" s="55"/>
      <c r="D30" s="55"/>
      <c r="E30" s="240"/>
      <c r="F30" s="237"/>
      <c r="G30" s="55"/>
    </row>
    <row r="31" spans="2:7" ht="88.5" customHeight="1" x14ac:dyDescent="0.2">
      <c r="B31" s="105" t="s">
        <v>62</v>
      </c>
      <c r="C31" s="241" t="s">
        <v>155</v>
      </c>
      <c r="D31" s="241"/>
      <c r="E31" s="241"/>
      <c r="F31" s="241"/>
      <c r="G31" s="241"/>
    </row>
  </sheetData>
  <mergeCells count="10">
    <mergeCell ref="E28:F28"/>
    <mergeCell ref="E29:F29"/>
    <mergeCell ref="E30:F30"/>
    <mergeCell ref="C31:G31"/>
    <mergeCell ref="B2:G2"/>
    <mergeCell ref="B3:G3"/>
    <mergeCell ref="D4:G4"/>
    <mergeCell ref="B23:G23"/>
    <mergeCell ref="B26:G26"/>
    <mergeCell ref="E27:F27"/>
  </mergeCells>
  <phoneticPr fontId="49" type="noConversion"/>
  <dataValidations count="1">
    <dataValidation type="list" allowBlank="1" showInputMessage="1" showErrorMessage="1" sqref="C5">
      <formula1>版本名称</formula1>
    </dataValidation>
  </dataValidations>
  <pageMargins left="0.75" right="0.75" top="1" bottom="1" header="0.5" footer="0.5"/>
  <pageSetup paperSize="9" orientation="portrait" horizontalDpi="300" verticalDpi="300" r:id="rId1"/>
  <headerFooter alignWithMargins="0"/>
  <drawing r:id="rId2"/>
  <legacyDrawing r:id="rId3"/>
  <controls>
    <mc:AlternateContent xmlns:mc="http://schemas.openxmlformats.org/markup-compatibility/2006">
      <mc:Choice Requires="x14">
        <control shapeId="58370" r:id="rId4" name="CommandButton2">
          <controlPr autoLine="0" r:id="rId5">
            <anchor moveWithCells="1">
              <from>
                <xdr:col>14</xdr:col>
                <xdr:colOff>28575</xdr:colOff>
                <xdr:row>0</xdr:row>
                <xdr:rowOff>0</xdr:rowOff>
              </from>
              <to>
                <xdr:col>17</xdr:col>
                <xdr:colOff>190500</xdr:colOff>
                <xdr:row>1</xdr:row>
                <xdr:rowOff>123825</xdr:rowOff>
              </to>
            </anchor>
          </controlPr>
        </control>
      </mc:Choice>
      <mc:Fallback>
        <control shapeId="58370" r:id="rId4" name="CommandButton2"/>
      </mc:Fallback>
    </mc:AlternateContent>
    <mc:AlternateContent xmlns:mc="http://schemas.openxmlformats.org/markup-compatibility/2006">
      <mc:Choice Requires="x14">
        <control shapeId="58369" r:id="rId6" name="CommandButton1">
          <controlPr autoLine="0" r:id="rId7">
            <anchor moveWithCells="1">
              <from>
                <xdr:col>10</xdr:col>
                <xdr:colOff>9525</xdr:colOff>
                <xdr:row>0</xdr:row>
                <xdr:rowOff>0</xdr:rowOff>
              </from>
              <to>
                <xdr:col>13</xdr:col>
                <xdr:colOff>171450</xdr:colOff>
                <xdr:row>1</xdr:row>
                <xdr:rowOff>123825</xdr:rowOff>
              </to>
            </anchor>
          </controlPr>
        </control>
      </mc:Choice>
      <mc:Fallback>
        <control shapeId="58369" r:id="rId6" name="CommandButton1"/>
      </mc:Fallback>
    </mc:AlternateContent>
  </controls>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B2:G29"/>
  <sheetViews>
    <sheetView topLeftCell="B1" workbookViewId="0">
      <selection sqref="A1:A65536"/>
    </sheetView>
  </sheetViews>
  <sheetFormatPr defaultColWidth="4.5703125" defaultRowHeight="12.75" x14ac:dyDescent="0.2"/>
  <cols>
    <col min="1" max="1" width="0" hidden="1" customWidth="1"/>
    <col min="2" max="3" width="18.7109375" customWidth="1"/>
    <col min="4" max="4" width="48.7109375" customWidth="1"/>
    <col min="5" max="7" width="12.7109375" customWidth="1"/>
  </cols>
  <sheetData>
    <row r="2" spans="2:7" ht="37.5" customHeight="1" x14ac:dyDescent="0.2">
      <c r="B2" s="242" t="s">
        <v>180</v>
      </c>
      <c r="C2" s="242"/>
      <c r="D2" s="242"/>
      <c r="E2" s="242"/>
      <c r="F2" s="242"/>
      <c r="G2" s="242"/>
    </row>
    <row r="3" spans="2:7" ht="125.25" customHeight="1" x14ac:dyDescent="0.2">
      <c r="B3" s="243" t="s">
        <v>191</v>
      </c>
      <c r="C3" s="243"/>
      <c r="D3" s="243"/>
      <c r="E3" s="243"/>
      <c r="F3" s="243"/>
      <c r="G3" s="243"/>
    </row>
    <row r="4" spans="2:7" ht="13.5" customHeight="1" x14ac:dyDescent="0.2">
      <c r="B4" s="81"/>
      <c r="C4" s="82"/>
      <c r="D4" s="244"/>
      <c r="E4" s="245"/>
      <c r="F4" s="245"/>
      <c r="G4" s="246"/>
    </row>
    <row r="5" spans="2:7" ht="14.25" x14ac:dyDescent="0.3">
      <c r="B5" s="83" t="s">
        <v>14</v>
      </c>
      <c r="C5" s="72" t="s">
        <v>170</v>
      </c>
      <c r="D5" s="84"/>
      <c r="E5" s="85"/>
      <c r="F5" s="85"/>
      <c r="G5" s="86"/>
    </row>
    <row r="6" spans="2:7" ht="14.25" customHeight="1" x14ac:dyDescent="0.3">
      <c r="B6" s="78" t="s">
        <v>154</v>
      </c>
      <c r="C6" s="87">
        <f>COUNTIF(ISR清单!I4:I47,"待分析")</f>
        <v>0</v>
      </c>
      <c r="D6" s="84"/>
      <c r="E6" s="85"/>
      <c r="F6" s="85"/>
      <c r="G6" s="86"/>
    </row>
    <row r="7" spans="2:7" ht="14.25" customHeight="1" x14ac:dyDescent="0.3">
      <c r="B7" s="78" t="s">
        <v>146</v>
      </c>
      <c r="C7" s="87">
        <f>COUNTIF(ISR清单!I4:I47,"待排期")</f>
        <v>3</v>
      </c>
      <c r="D7" s="84"/>
      <c r="E7" s="85"/>
      <c r="F7" s="85"/>
      <c r="G7" s="86"/>
    </row>
    <row r="8" spans="2:7" ht="14.25" customHeight="1" x14ac:dyDescent="0.3">
      <c r="B8" s="78" t="s">
        <v>147</v>
      </c>
      <c r="C8" s="87">
        <f>COUNTIF(ISR清单!I4:I47,"已挂起")</f>
        <v>0</v>
      </c>
      <c r="D8" s="84"/>
      <c r="E8" s="85"/>
      <c r="F8" s="85"/>
      <c r="G8" s="86"/>
    </row>
    <row r="9" spans="2:7" ht="14.25" customHeight="1" x14ac:dyDescent="0.3">
      <c r="B9" s="78" t="s">
        <v>148</v>
      </c>
      <c r="C9" s="87"/>
      <c r="D9" s="84"/>
      <c r="E9" s="85"/>
      <c r="F9" s="85"/>
      <c r="G9" s="86"/>
    </row>
    <row r="10" spans="2:7" s="50" customFormat="1" ht="12.75" customHeight="1" x14ac:dyDescent="0.2">
      <c r="B10" s="69" t="s">
        <v>149</v>
      </c>
      <c r="C10" s="88"/>
      <c r="D10" s="89"/>
      <c r="E10" s="85"/>
      <c r="F10" s="85"/>
      <c r="G10" s="86"/>
    </row>
    <row r="11" spans="2:7" ht="14.25" customHeight="1" x14ac:dyDescent="0.2">
      <c r="B11" s="90"/>
      <c r="C11" s="91"/>
      <c r="D11" s="91"/>
      <c r="E11" s="92"/>
      <c r="F11" s="92"/>
      <c r="G11" s="93"/>
    </row>
    <row r="12" spans="2:7" ht="14.25" x14ac:dyDescent="0.3">
      <c r="B12" s="74" t="s">
        <v>18</v>
      </c>
      <c r="C12" s="74" t="s">
        <v>59</v>
      </c>
      <c r="D12" s="74" t="s">
        <v>58</v>
      </c>
      <c r="E12" s="73"/>
      <c r="F12" s="70"/>
      <c r="G12" s="94"/>
    </row>
    <row r="13" spans="2:7" ht="28.5" x14ac:dyDescent="0.3">
      <c r="B13" s="95" t="s">
        <v>75</v>
      </c>
      <c r="C13" s="96">
        <v>42900</v>
      </c>
      <c r="D13" s="96">
        <v>42900</v>
      </c>
      <c r="E13" s="97"/>
      <c r="F13" s="85"/>
      <c r="G13" s="86"/>
    </row>
    <row r="14" spans="2:7" ht="14.25" x14ac:dyDescent="0.3">
      <c r="B14" s="98" t="s">
        <v>74</v>
      </c>
      <c r="C14" s="96">
        <v>42901</v>
      </c>
      <c r="D14" s="96">
        <v>42907</v>
      </c>
      <c r="E14" s="84"/>
      <c r="F14" s="85"/>
      <c r="G14" s="86"/>
    </row>
    <row r="15" spans="2:7" ht="14.25" x14ac:dyDescent="0.3">
      <c r="B15" s="95" t="s">
        <v>73</v>
      </c>
      <c r="C15" s="96">
        <v>42905</v>
      </c>
      <c r="D15" s="96">
        <v>42907</v>
      </c>
      <c r="E15" s="97"/>
      <c r="F15" s="85"/>
      <c r="G15" s="86"/>
    </row>
    <row r="16" spans="2:7" ht="14.25" x14ac:dyDescent="0.3">
      <c r="B16" s="98" t="s">
        <v>19</v>
      </c>
      <c r="C16" s="96">
        <v>42908</v>
      </c>
      <c r="D16" s="96">
        <v>42908</v>
      </c>
      <c r="E16" s="97"/>
      <c r="F16" s="85"/>
      <c r="G16" s="86"/>
    </row>
    <row r="17" spans="2:7" ht="14.25" x14ac:dyDescent="0.2">
      <c r="B17" s="99" t="s">
        <v>68</v>
      </c>
      <c r="C17" s="79"/>
      <c r="D17" s="79"/>
      <c r="E17" s="79"/>
      <c r="F17" s="79"/>
      <c r="G17" s="100"/>
    </row>
    <row r="18" spans="2:7" ht="28.5" x14ac:dyDescent="0.2">
      <c r="B18" s="75" t="s">
        <v>187</v>
      </c>
      <c r="C18" s="76" t="s">
        <v>44</v>
      </c>
      <c r="D18" s="75" t="s">
        <v>46</v>
      </c>
      <c r="E18" s="75" t="s">
        <v>48</v>
      </c>
      <c r="F18" s="77" t="s">
        <v>189</v>
      </c>
      <c r="G18" s="75" t="s">
        <v>188</v>
      </c>
    </row>
    <row r="19" spans="2:7" ht="14.25" customHeight="1" x14ac:dyDescent="0.2">
      <c r="B19" s="80" t="s">
        <v>176</v>
      </c>
      <c r="C19" s="101">
        <v>42888</v>
      </c>
      <c r="D19" s="80" t="s">
        <v>177</v>
      </c>
      <c r="E19" s="80" t="s">
        <v>178</v>
      </c>
      <c r="F19" s="80" t="s">
        <v>179</v>
      </c>
      <c r="G19" s="80"/>
    </row>
    <row r="20" spans="2:7" ht="22.5" x14ac:dyDescent="0.2">
      <c r="B20" s="80" t="s">
        <v>167</v>
      </c>
      <c r="C20" s="101">
        <v>42877</v>
      </c>
      <c r="D20" s="80" t="s">
        <v>190</v>
      </c>
      <c r="E20" s="80" t="s">
        <v>163</v>
      </c>
      <c r="F20" s="80" t="s">
        <v>165</v>
      </c>
      <c r="G20" s="80"/>
    </row>
    <row r="21" spans="2:7" ht="25.5" customHeight="1" x14ac:dyDescent="0.2">
      <c r="B21" s="247" t="s">
        <v>150</v>
      </c>
      <c r="C21" s="248"/>
      <c r="D21" s="248"/>
      <c r="E21" s="248"/>
      <c r="F21" s="248"/>
      <c r="G21" s="249"/>
    </row>
    <row r="22" spans="2:7" ht="28.5" x14ac:dyDescent="0.2">
      <c r="B22" s="75" t="s">
        <v>151</v>
      </c>
      <c r="C22" s="75" t="s">
        <v>52</v>
      </c>
      <c r="D22" s="75" t="s">
        <v>54</v>
      </c>
      <c r="E22" s="75" t="s">
        <v>152</v>
      </c>
      <c r="F22" s="75" t="s">
        <v>99</v>
      </c>
      <c r="G22" s="75" t="s">
        <v>153</v>
      </c>
    </row>
    <row r="23" spans="2:7" ht="14.25" x14ac:dyDescent="0.3">
      <c r="B23" s="78"/>
      <c r="C23" s="96"/>
      <c r="D23" s="78"/>
      <c r="E23" s="87"/>
      <c r="F23" s="78"/>
      <c r="G23" s="78"/>
    </row>
    <row r="24" spans="2:7" ht="23.25" customHeight="1" x14ac:dyDescent="0.2">
      <c r="B24" s="247" t="s">
        <v>70</v>
      </c>
      <c r="C24" s="248"/>
      <c r="D24" s="248"/>
      <c r="E24" s="248"/>
      <c r="F24" s="248"/>
      <c r="G24" s="249"/>
    </row>
    <row r="25" spans="2:7" ht="14.25" x14ac:dyDescent="0.2">
      <c r="B25" s="75" t="s">
        <v>67</v>
      </c>
      <c r="C25" s="75" t="s">
        <v>14</v>
      </c>
      <c r="D25" s="75" t="s">
        <v>66</v>
      </c>
      <c r="E25" s="250" t="s">
        <v>97</v>
      </c>
      <c r="F25" s="251"/>
      <c r="G25" s="75" t="s">
        <v>16</v>
      </c>
    </row>
    <row r="26" spans="2:7" x14ac:dyDescent="0.2">
      <c r="B26" s="55" t="s">
        <v>181</v>
      </c>
      <c r="C26" s="55" t="s">
        <v>182</v>
      </c>
      <c r="D26" s="102">
        <v>42908</v>
      </c>
      <c r="E26" s="236" t="s">
        <v>183</v>
      </c>
      <c r="F26" s="237"/>
      <c r="G26" s="103"/>
    </row>
    <row r="27" spans="2:7" x14ac:dyDescent="0.2">
      <c r="B27" s="104" t="s">
        <v>184</v>
      </c>
      <c r="C27" s="55" t="s">
        <v>185</v>
      </c>
      <c r="D27" s="102">
        <v>42908</v>
      </c>
      <c r="E27" s="238" t="s">
        <v>186</v>
      </c>
      <c r="F27" s="239"/>
      <c r="G27" s="103"/>
    </row>
    <row r="28" spans="2:7" x14ac:dyDescent="0.2">
      <c r="B28" s="55"/>
      <c r="C28" s="55"/>
      <c r="D28" s="55"/>
      <c r="E28" s="240"/>
      <c r="F28" s="237"/>
      <c r="G28" s="55"/>
    </row>
    <row r="29" spans="2:7" ht="88.5" customHeight="1" x14ac:dyDescent="0.2">
      <c r="B29" s="105" t="s">
        <v>62</v>
      </c>
      <c r="C29" s="241" t="s">
        <v>155</v>
      </c>
      <c r="D29" s="241"/>
      <c r="E29" s="241"/>
      <c r="F29" s="241"/>
      <c r="G29" s="241"/>
    </row>
  </sheetData>
  <mergeCells count="10">
    <mergeCell ref="E25:F25"/>
    <mergeCell ref="E26:F26"/>
    <mergeCell ref="C29:G29"/>
    <mergeCell ref="B2:G2"/>
    <mergeCell ref="E27:F27"/>
    <mergeCell ref="E28:F28"/>
    <mergeCell ref="B3:G3"/>
    <mergeCell ref="D4:G4"/>
    <mergeCell ref="B21:G21"/>
    <mergeCell ref="B24:G24"/>
  </mergeCells>
  <phoneticPr fontId="46" type="noConversion"/>
  <dataValidations count="1">
    <dataValidation type="list" allowBlank="1" showInputMessage="1" showErrorMessage="1" sqref="C5">
      <formula1>版本名称</formula1>
    </dataValidation>
  </dataValidations>
  <pageMargins left="0.75" right="0.75" top="1" bottom="1" header="0.5" footer="0.5"/>
  <pageSetup paperSize="9" orientation="portrait" horizontalDpi="300" verticalDpi="300" r:id="rId1"/>
  <headerFooter alignWithMargins="0"/>
  <drawing r:id="rId2"/>
  <legacyDrawing r:id="rId3"/>
  <controls>
    <mc:AlternateContent xmlns:mc="http://schemas.openxmlformats.org/markup-compatibility/2006">
      <mc:Choice Requires="x14">
        <control shapeId="8208" r:id="rId4" name="CommandButton2">
          <controlPr autoLine="0" r:id="rId5">
            <anchor moveWithCells="1">
              <from>
                <xdr:col>14</xdr:col>
                <xdr:colOff>28575</xdr:colOff>
                <xdr:row>0</xdr:row>
                <xdr:rowOff>0</xdr:rowOff>
              </from>
              <to>
                <xdr:col>17</xdr:col>
                <xdr:colOff>190500</xdr:colOff>
                <xdr:row>1</xdr:row>
                <xdr:rowOff>123825</xdr:rowOff>
              </to>
            </anchor>
          </controlPr>
        </control>
      </mc:Choice>
      <mc:Fallback>
        <control shapeId="8208" r:id="rId4" name="CommandButton2"/>
      </mc:Fallback>
    </mc:AlternateContent>
    <mc:AlternateContent xmlns:mc="http://schemas.openxmlformats.org/markup-compatibility/2006">
      <mc:Choice Requires="x14">
        <control shapeId="8196" r:id="rId6" name="CommandButton1">
          <controlPr autoLine="0" r:id="rId7">
            <anchor moveWithCells="1">
              <from>
                <xdr:col>10</xdr:col>
                <xdr:colOff>9525</xdr:colOff>
                <xdr:row>0</xdr:row>
                <xdr:rowOff>0</xdr:rowOff>
              </from>
              <to>
                <xdr:col>13</xdr:col>
                <xdr:colOff>171450</xdr:colOff>
                <xdr:row>1</xdr:row>
                <xdr:rowOff>123825</xdr:rowOff>
              </to>
            </anchor>
          </controlPr>
        </control>
      </mc:Choice>
      <mc:Fallback>
        <control shapeId="8196" r:id="rId6" name="CommandButton1"/>
      </mc:Fallback>
    </mc:AlternateContent>
  </controls>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dimension ref="B2:I23"/>
  <sheetViews>
    <sheetView workbookViewId="0">
      <selection activeCell="Q7" sqref="Q7"/>
    </sheetView>
  </sheetViews>
  <sheetFormatPr defaultRowHeight="12.75" x14ac:dyDescent="0.2"/>
  <cols>
    <col min="1" max="1" width="2" customWidth="1"/>
    <col min="2" max="2" width="25.42578125" customWidth="1"/>
    <col min="3" max="3" width="15.5703125" customWidth="1"/>
    <col min="4" max="4" width="30.42578125" customWidth="1"/>
    <col min="5" max="5" width="12.42578125" customWidth="1"/>
    <col min="6" max="6" width="15.140625" customWidth="1"/>
    <col min="7" max="7" width="12.140625" customWidth="1"/>
    <col min="8" max="8" width="9.5703125" hidden="1" customWidth="1"/>
  </cols>
  <sheetData>
    <row r="2" spans="2:9" x14ac:dyDescent="0.2">
      <c r="B2" s="287" t="s">
        <v>123</v>
      </c>
      <c r="C2" s="288"/>
      <c r="D2" s="288"/>
    </row>
    <row r="3" spans="2:9" ht="5.25" customHeight="1" x14ac:dyDescent="0.2"/>
    <row r="4" spans="2:9" x14ac:dyDescent="0.2">
      <c r="B4" s="57" t="s">
        <v>124</v>
      </c>
      <c r="C4" s="57" t="s">
        <v>125</v>
      </c>
      <c r="D4" s="67" t="s">
        <v>143</v>
      </c>
      <c r="I4" s="58"/>
    </row>
    <row r="5" spans="2:9" x14ac:dyDescent="0.2">
      <c r="B5" s="59"/>
      <c r="C5" s="59"/>
      <c r="D5" s="68"/>
      <c r="I5" s="58"/>
    </row>
    <row r="6" spans="2:9" x14ac:dyDescent="0.2">
      <c r="B6" s="59"/>
      <c r="C6" s="59"/>
      <c r="D6" s="68"/>
      <c r="I6" s="58"/>
    </row>
    <row r="7" spans="2:9" x14ac:dyDescent="0.2">
      <c r="B7" s="59"/>
      <c r="C7" s="59"/>
      <c r="D7" s="68"/>
      <c r="I7" s="58"/>
    </row>
    <row r="8" spans="2:9" x14ac:dyDescent="0.2">
      <c r="B8" s="59"/>
      <c r="C8" s="59"/>
      <c r="D8" s="68"/>
      <c r="I8" s="58"/>
    </row>
    <row r="10" spans="2:9" x14ac:dyDescent="0.2">
      <c r="B10" s="289" t="s">
        <v>142</v>
      </c>
      <c r="C10" s="288"/>
      <c r="D10" s="288"/>
      <c r="F10" s="60"/>
    </row>
    <row r="11" spans="2:9" ht="3.75" customHeight="1" x14ac:dyDescent="0.2"/>
    <row r="12" spans="2:9" x14ac:dyDescent="0.2">
      <c r="B12" s="57" t="s">
        <v>128</v>
      </c>
      <c r="C12" s="57" t="s">
        <v>129</v>
      </c>
      <c r="D12" s="57" t="s">
        <v>130</v>
      </c>
    </row>
    <row r="13" spans="2:9" x14ac:dyDescent="0.2">
      <c r="B13" s="61" t="s">
        <v>131</v>
      </c>
      <c r="C13" s="9"/>
      <c r="D13" s="9"/>
    </row>
    <row r="14" spans="2:9" x14ac:dyDescent="0.2">
      <c r="B14" s="48" t="s">
        <v>132</v>
      </c>
      <c r="C14" s="9"/>
      <c r="D14" s="9"/>
    </row>
    <row r="15" spans="2:9" x14ac:dyDescent="0.2">
      <c r="B15" s="48" t="s">
        <v>133</v>
      </c>
      <c r="C15" s="9"/>
      <c r="D15" s="9"/>
    </row>
    <row r="16" spans="2:9" x14ac:dyDescent="0.2">
      <c r="B16" s="61" t="s">
        <v>134</v>
      </c>
      <c r="C16" s="9"/>
      <c r="D16" s="9"/>
    </row>
    <row r="17" spans="2:8" x14ac:dyDescent="0.2">
      <c r="B17" s="61" t="s">
        <v>135</v>
      </c>
      <c r="C17" s="9"/>
      <c r="D17" s="9"/>
    </row>
    <row r="18" spans="2:8" x14ac:dyDescent="0.2">
      <c r="B18" s="62"/>
      <c r="C18" s="23"/>
      <c r="D18" s="23"/>
    </row>
    <row r="19" spans="2:8" x14ac:dyDescent="0.2">
      <c r="B19" s="63" t="s">
        <v>136</v>
      </c>
    </row>
    <row r="21" spans="2:8" ht="73.5" customHeight="1" x14ac:dyDescent="0.2">
      <c r="B21" s="64" t="s">
        <v>137</v>
      </c>
      <c r="C21" s="271" t="s">
        <v>145</v>
      </c>
      <c r="D21" s="272"/>
      <c r="E21" s="272"/>
      <c r="F21" s="272"/>
      <c r="G21" s="272"/>
      <c r="H21" s="272"/>
    </row>
    <row r="23" spans="2:8" x14ac:dyDescent="0.2">
      <c r="B23" t="s">
        <v>141</v>
      </c>
    </row>
  </sheetData>
  <mergeCells count="3">
    <mergeCell ref="B2:D2"/>
    <mergeCell ref="B10:D10"/>
    <mergeCell ref="C21:H21"/>
  </mergeCells>
  <phoneticPr fontId="36" type="noConversion"/>
  <pageMargins left="0.7" right="0.7" top="0.75" bottom="0.75" header="0.3" footer="0.3"/>
  <pageSetup paperSize="9" orientation="portrait" horizontalDpi="300" verticalDpi="300" r:id="rId1"/>
  <drawing r:id="rId2"/>
  <legacyDrawing r:id="rId3"/>
  <controls>
    <mc:AlternateContent xmlns:mc="http://schemas.openxmlformats.org/markup-compatibility/2006">
      <mc:Choice Requires="x14">
        <control shapeId="48129" r:id="rId4" name="CommandButton3">
          <controlPr autoLine="0" r:id="rId5">
            <anchor moveWithCells="1">
              <from>
                <xdr:col>4</xdr:col>
                <xdr:colOff>438150</xdr:colOff>
                <xdr:row>0</xdr:row>
                <xdr:rowOff>57150</xdr:rowOff>
              </from>
              <to>
                <xdr:col>5</xdr:col>
                <xdr:colOff>457200</xdr:colOff>
                <xdr:row>2</xdr:row>
                <xdr:rowOff>19050</xdr:rowOff>
              </to>
            </anchor>
          </controlPr>
        </control>
      </mc:Choice>
      <mc:Fallback>
        <control shapeId="48129" r:id="rId4" name="CommandButton3"/>
      </mc:Fallback>
    </mc:AlternateContent>
  </control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O94"/>
  <sheetViews>
    <sheetView topLeftCell="A108" workbookViewId="0">
      <selection activeCell="Q7" sqref="Q7"/>
    </sheetView>
  </sheetViews>
  <sheetFormatPr defaultRowHeight="12.75" x14ac:dyDescent="0.2"/>
  <sheetData>
    <row r="1" spans="1:15" s="52" customFormat="1" ht="36.75" customHeight="1" x14ac:dyDescent="0.2">
      <c r="A1" s="290" t="s">
        <v>139</v>
      </c>
      <c r="B1" s="291"/>
      <c r="C1" s="291"/>
      <c r="D1" s="291"/>
      <c r="E1" s="291"/>
      <c r="F1" s="291"/>
      <c r="G1" s="291"/>
      <c r="H1" s="291"/>
      <c r="I1" s="291"/>
      <c r="J1" s="291"/>
      <c r="K1" s="291"/>
      <c r="L1" s="291"/>
      <c r="M1" s="291"/>
      <c r="N1" s="291"/>
      <c r="O1" s="291"/>
    </row>
    <row r="2" spans="1:15" s="66" customFormat="1" ht="18" customHeight="1" x14ac:dyDescent="0.2">
      <c r="A2" s="294" t="s">
        <v>138</v>
      </c>
      <c r="B2" s="295"/>
      <c r="C2" s="295"/>
      <c r="D2" s="295"/>
      <c r="E2" s="295"/>
      <c r="F2" s="295"/>
      <c r="G2" s="295"/>
      <c r="H2" s="295"/>
      <c r="I2" s="295"/>
      <c r="J2" s="295"/>
      <c r="K2" s="295"/>
      <c r="L2" s="295"/>
      <c r="M2" s="295"/>
      <c r="N2" s="295"/>
      <c r="O2" s="295"/>
    </row>
    <row r="36" spans="1:15" ht="10.5" customHeight="1" x14ac:dyDescent="0.2"/>
    <row r="38" spans="1:15" s="65" customFormat="1" ht="18" customHeight="1" x14ac:dyDescent="0.2">
      <c r="A38" s="294" t="s">
        <v>140</v>
      </c>
      <c r="B38" s="295"/>
      <c r="C38" s="295"/>
      <c r="D38" s="295"/>
      <c r="E38" s="295"/>
      <c r="F38" s="295"/>
      <c r="G38" s="295"/>
      <c r="H38" s="295"/>
      <c r="I38" s="295"/>
      <c r="J38" s="295"/>
      <c r="K38" s="295"/>
      <c r="L38" s="295"/>
      <c r="M38" s="295"/>
      <c r="N38" s="295"/>
      <c r="O38" s="295"/>
    </row>
    <row r="72" spans="1:15" s="52" customFormat="1" ht="27" customHeight="1" x14ac:dyDescent="0.2">
      <c r="A72" s="292" t="s">
        <v>90</v>
      </c>
      <c r="B72" s="291"/>
      <c r="C72" s="291"/>
      <c r="D72" s="291"/>
      <c r="E72" s="291"/>
      <c r="F72" s="291"/>
      <c r="G72" s="291"/>
      <c r="H72" s="291"/>
      <c r="I72" s="291"/>
      <c r="J72" s="291"/>
      <c r="K72" s="291"/>
      <c r="L72" s="291"/>
      <c r="M72" s="291"/>
      <c r="N72" s="291"/>
      <c r="O72" s="291"/>
    </row>
    <row r="73" spans="1:15" ht="58.5" customHeight="1" x14ac:dyDescent="0.2">
      <c r="A73" s="293" t="s">
        <v>91</v>
      </c>
      <c r="B73" s="291"/>
      <c r="C73" s="291"/>
      <c r="D73" s="291"/>
      <c r="E73" s="291"/>
      <c r="F73" s="291"/>
      <c r="G73" s="291"/>
      <c r="H73" s="291"/>
      <c r="I73" s="291"/>
      <c r="J73" s="291"/>
      <c r="K73" s="291"/>
      <c r="L73" s="291"/>
      <c r="M73" s="291"/>
      <c r="N73" s="291"/>
      <c r="O73" s="291"/>
    </row>
    <row r="89" spans="1:15" x14ac:dyDescent="0.2">
      <c r="A89" s="10"/>
      <c r="B89" s="10"/>
      <c r="C89" s="10"/>
      <c r="D89" s="10"/>
      <c r="E89" s="10"/>
      <c r="F89" s="10"/>
      <c r="G89" s="10"/>
      <c r="H89" s="10"/>
      <c r="I89" s="10"/>
      <c r="J89" s="10"/>
      <c r="K89" s="10"/>
      <c r="L89" s="10"/>
      <c r="M89" s="10"/>
      <c r="N89" s="10"/>
    </row>
    <row r="94" spans="1:15" ht="48.75" customHeight="1" x14ac:dyDescent="0.2">
      <c r="A94" s="293" t="s">
        <v>92</v>
      </c>
      <c r="B94" s="291"/>
      <c r="C94" s="291"/>
      <c r="D94" s="291"/>
      <c r="E94" s="291"/>
      <c r="F94" s="291"/>
      <c r="G94" s="291"/>
      <c r="H94" s="291"/>
      <c r="I94" s="291"/>
      <c r="J94" s="291"/>
      <c r="K94" s="291"/>
      <c r="L94" s="291"/>
      <c r="M94" s="291"/>
      <c r="N94" s="291"/>
      <c r="O94" s="291"/>
    </row>
  </sheetData>
  <mergeCells count="6">
    <mergeCell ref="A1:O1"/>
    <mergeCell ref="A72:O72"/>
    <mergeCell ref="A73:O73"/>
    <mergeCell ref="A94:O94"/>
    <mergeCell ref="A2:O2"/>
    <mergeCell ref="A38:O38"/>
  </mergeCells>
  <phoneticPr fontId="1" type="noConversion"/>
  <pageMargins left="0.75" right="0.75" top="1" bottom="1" header="0.5" footer="0.5"/>
  <pageSetup paperSize="9" orientation="portrait" horizontalDpi="300" verticalDpi="300" r:id="rId1"/>
  <headerFooter alignWithMargins="0"/>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F1"/>
  <sheetViews>
    <sheetView workbookViewId="0"/>
  </sheetViews>
  <sheetFormatPr defaultRowHeight="12.75" x14ac:dyDescent="0.2"/>
  <cols>
    <col min="1" max="1" width="35.5703125" customWidth="1"/>
  </cols>
  <sheetData>
    <row r="1" spans="1:6" ht="156.75" x14ac:dyDescent="0.2">
      <c r="A1" s="161" t="s">
        <v>311</v>
      </c>
      <c r="B1" s="162"/>
      <c r="C1" s="162"/>
      <c r="D1" s="162"/>
      <c r="E1" s="162"/>
      <c r="F1" s="162"/>
    </row>
  </sheetData>
  <sheetProtection sheet="1" objects="1" scenarios="1"/>
  <phoneticPr fontId="1" type="noConversion"/>
  <pageMargins left="0.7" right="0.7" top="0.75" bottom="0.75" header="0.3" footer="0.3"/>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B2:I21"/>
  <sheetViews>
    <sheetView workbookViewId="0">
      <selection activeCell="C21" sqref="C21:H21"/>
    </sheetView>
  </sheetViews>
  <sheetFormatPr defaultRowHeight="12.75" x14ac:dyDescent="0.2"/>
  <cols>
    <col min="1" max="1" width="2" customWidth="1"/>
    <col min="2" max="2" width="28.28515625" customWidth="1"/>
    <col min="3" max="3" width="15.5703125" customWidth="1"/>
    <col min="4" max="4" width="30.42578125" customWidth="1"/>
    <col min="5" max="5" width="12.42578125" customWidth="1"/>
    <col min="6" max="6" width="15.140625" customWidth="1"/>
    <col min="7" max="7" width="12.140625" customWidth="1"/>
    <col min="8" max="8" width="9.5703125" hidden="1" customWidth="1"/>
  </cols>
  <sheetData>
    <row r="2" spans="2:9" x14ac:dyDescent="0.2">
      <c r="B2" s="287" t="s">
        <v>123</v>
      </c>
      <c r="C2" s="288"/>
      <c r="D2" s="288"/>
    </row>
    <row r="3" spans="2:9" ht="5.25" customHeight="1" x14ac:dyDescent="0.2"/>
    <row r="4" spans="2:9" x14ac:dyDescent="0.2">
      <c r="B4" s="57" t="s">
        <v>124</v>
      </c>
      <c r="C4" s="57" t="s">
        <v>125</v>
      </c>
      <c r="D4" s="57" t="s">
        <v>126</v>
      </c>
      <c r="I4" s="58"/>
    </row>
    <row r="5" spans="2:9" x14ac:dyDescent="0.2">
      <c r="B5" s="59"/>
      <c r="C5" s="59"/>
      <c r="D5" s="59"/>
      <c r="I5" s="58"/>
    </row>
    <row r="6" spans="2:9" x14ac:dyDescent="0.2">
      <c r="B6" s="59"/>
      <c r="C6" s="59"/>
      <c r="D6" s="59"/>
      <c r="I6" s="58"/>
    </row>
    <row r="7" spans="2:9" x14ac:dyDescent="0.2">
      <c r="B7" s="59"/>
      <c r="C7" s="59"/>
      <c r="D7" s="59"/>
      <c r="I7" s="58"/>
    </row>
    <row r="8" spans="2:9" x14ac:dyDescent="0.2">
      <c r="B8" s="59"/>
      <c r="C8" s="59"/>
      <c r="D8" s="59"/>
      <c r="I8" s="58"/>
    </row>
    <row r="10" spans="2:9" x14ac:dyDescent="0.2">
      <c r="B10" s="287" t="s">
        <v>127</v>
      </c>
      <c r="C10" s="288"/>
      <c r="D10" s="288"/>
      <c r="F10" s="60"/>
    </row>
    <row r="11" spans="2:9" ht="3.75" customHeight="1" x14ac:dyDescent="0.2"/>
    <row r="12" spans="2:9" x14ac:dyDescent="0.2">
      <c r="B12" s="57" t="s">
        <v>128</v>
      </c>
      <c r="C12" s="57" t="s">
        <v>129</v>
      </c>
      <c r="D12" s="57" t="s">
        <v>130</v>
      </c>
    </row>
    <row r="13" spans="2:9" x14ac:dyDescent="0.2">
      <c r="B13" s="61" t="s">
        <v>131</v>
      </c>
      <c r="C13" s="9"/>
      <c r="D13" s="9"/>
    </row>
    <row r="14" spans="2:9" x14ac:dyDescent="0.2">
      <c r="B14" s="48" t="s">
        <v>132</v>
      </c>
      <c r="C14" s="9"/>
      <c r="D14" s="9"/>
    </row>
    <row r="15" spans="2:9" x14ac:dyDescent="0.2">
      <c r="B15" s="48" t="s">
        <v>133</v>
      </c>
      <c r="C15" s="9"/>
      <c r="D15" s="9"/>
    </row>
    <row r="16" spans="2:9" x14ac:dyDescent="0.2">
      <c r="B16" s="61" t="s">
        <v>134</v>
      </c>
      <c r="C16" s="9"/>
      <c r="D16" s="9"/>
    </row>
    <row r="17" spans="2:8" x14ac:dyDescent="0.2">
      <c r="B17" s="61" t="s">
        <v>135</v>
      </c>
      <c r="C17" s="9"/>
      <c r="D17" s="9"/>
    </row>
    <row r="18" spans="2:8" x14ac:dyDescent="0.2">
      <c r="B18" s="62"/>
      <c r="C18" s="23"/>
      <c r="D18" s="23"/>
    </row>
    <row r="19" spans="2:8" x14ac:dyDescent="0.2">
      <c r="B19" s="63" t="s">
        <v>136</v>
      </c>
    </row>
    <row r="21" spans="2:8" ht="73.5" customHeight="1" x14ac:dyDescent="0.2">
      <c r="B21" s="64" t="s">
        <v>137</v>
      </c>
      <c r="C21" s="271" t="s">
        <v>144</v>
      </c>
      <c r="D21" s="272"/>
      <c r="E21" s="272"/>
      <c r="F21" s="272"/>
      <c r="G21" s="272"/>
      <c r="H21" s="272"/>
    </row>
  </sheetData>
  <mergeCells count="3">
    <mergeCell ref="B2:D2"/>
    <mergeCell ref="B10:D10"/>
    <mergeCell ref="C21:H21"/>
  </mergeCells>
  <phoneticPr fontId="36" type="noConversion"/>
  <pageMargins left="0.7" right="0.7" top="0.75" bottom="0.75" header="0.3" footer="0.3"/>
  <drawing r:id="rId1"/>
  <legacyDrawing r:id="rId2"/>
  <controls>
    <mc:AlternateContent xmlns:mc="http://schemas.openxmlformats.org/markup-compatibility/2006">
      <mc:Choice Requires="x14">
        <control shapeId="49153" r:id="rId3" name="CommandButton3">
          <controlPr autoLine="0" r:id="rId4">
            <anchor moveWithCells="1">
              <from>
                <xdr:col>4</xdr:col>
                <xdr:colOff>438150</xdr:colOff>
                <xdr:row>0</xdr:row>
                <xdr:rowOff>57150</xdr:rowOff>
              </from>
              <to>
                <xdr:col>5</xdr:col>
                <xdr:colOff>542925</xdr:colOff>
                <xdr:row>1</xdr:row>
                <xdr:rowOff>152400</xdr:rowOff>
              </to>
            </anchor>
          </controlPr>
        </control>
      </mc:Choice>
      <mc:Fallback>
        <control shapeId="49153" r:id="rId3" name="CommandButton3"/>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23</vt:i4>
      </vt:variant>
      <vt:variant>
        <vt:lpstr>命名范围</vt:lpstr>
      </vt:variant>
      <vt:variant>
        <vt:i4>1</vt:i4>
      </vt:variant>
    </vt:vector>
  </HeadingPairs>
  <TitlesOfParts>
    <vt:vector size="24" baseType="lpstr">
      <vt:lpstr>版本冻结公告-复制模板 (backup)</vt:lpstr>
      <vt:lpstr>版本冻结公告-复制模板</vt:lpstr>
      <vt:lpstr>版本控制</vt:lpstr>
      <vt:lpstr>例行版本计划</vt:lpstr>
      <vt:lpstr>ISR清单</vt:lpstr>
      <vt:lpstr>缺陷及问题清单</vt:lpstr>
      <vt:lpstr>本月退回ISR清单</vt:lpstr>
      <vt:lpstr>待处理ISR清单</vt:lpstr>
      <vt:lpstr>XX版本冻结公告</vt:lpstr>
      <vt:lpstr>历史信息</vt:lpstr>
      <vt:lpstr>版本冻结公告-v6.15.0</vt:lpstr>
      <vt:lpstr>v6.15.0版本冻结公告</vt:lpstr>
      <vt:lpstr>v6.13.0版本冻结公告</vt:lpstr>
      <vt:lpstr>v6.12.1版本冻结公告</vt:lpstr>
      <vt:lpstr>v1.23.0版本冻结公告</vt:lpstr>
      <vt:lpstr>v1.22.0版本冻结公告</vt:lpstr>
      <vt:lpstr>v1.19.0版本冻结公告</vt:lpstr>
      <vt:lpstr>v1.18.0版本冻结公告</vt:lpstr>
      <vt:lpstr>v1.17.0版本冻结公告</vt:lpstr>
      <vt:lpstr>XXX版本冻结公告（变更）</vt:lpstr>
      <vt:lpstr>邮件规范及操作指引</vt:lpstr>
      <vt:lpstr>textcontent</vt:lpstr>
      <vt:lpstr>XX版本冻结公告(变更)</vt:lpstr>
      <vt:lpstr>版本名称</vt:lpstr>
    </vt:vector>
  </TitlesOfParts>
  <Company>CTIL</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miriam choy</dc:creator>
  <cp:lastModifiedBy>Kerust Feng</cp:lastModifiedBy>
  <dcterms:created xsi:type="dcterms:W3CDTF">2006-03-01T04:09:29Z</dcterms:created>
  <dcterms:modified xsi:type="dcterms:W3CDTF">2018-11-12T07:52:30Z</dcterms:modified>
</cp:coreProperties>
</file>