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6A0ACB46-4995-4E65-A47A-711EBA0FF0D8}" xr6:coauthVersionLast="38" xr6:coauthVersionMax="38" xr10:uidLastSave="{00000000-0000-0000-0000-000000000000}"/>
  <bookViews>
    <workbookView xWindow="0" yWindow="810" windowWidth="9615" windowHeight="8700" tabRatio="781" firstSheet="1" activeTab="4" xr2:uid="{00000000-000D-0000-FFFF-FFFF00000000}"/>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9"/>
  <definedNames>
    <definedName name="版本名称">例行版本计划!$A$11:$A$70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8" i="43" l="1"/>
  <c r="C7" i="43"/>
  <c r="C6" i="43"/>
  <c r="C8" i="42"/>
  <c r="C7" i="42"/>
  <c r="C6" i="42"/>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43" s="1"/>
  <c r="C9" i="42" l="1"/>
  <c r="C9" i="20"/>
  <c r="C9"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3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3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4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4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4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400-000004000000}">
      <text>
        <r>
          <rPr>
            <b/>
            <sz val="9"/>
            <color indexed="81"/>
            <rFont val="宋体"/>
            <family val="3"/>
            <charset val="134"/>
          </rPr>
          <t>(K列“功能点数”和L列“总功能点数”选择其中一列填写)</t>
        </r>
      </text>
    </comment>
    <comment ref="M3" authorId="1" shapeId="0" xr:uid="{00000000-0006-0000-0400-000005000000}">
      <text>
        <r>
          <rPr>
            <b/>
            <sz val="9"/>
            <color indexed="81"/>
            <rFont val="宋体"/>
            <family val="3"/>
            <charset val="134"/>
          </rPr>
          <t>(K列“功能点数”和L列“总功能点数”选择其中一列填写)</t>
        </r>
      </text>
    </comment>
    <comment ref="R3" authorId="1" shapeId="0" xr:uid="{00000000-0006-0000-0400-000006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500-000001000000}">
      <text>
        <r>
          <rPr>
            <b/>
            <sz val="9"/>
            <color indexed="81"/>
            <rFont val="宋体"/>
            <family val="3"/>
            <charset val="134"/>
          </rPr>
          <t>(K列“功能点数”和L列“总功能点数”选择其中一列填写)</t>
        </r>
      </text>
    </comment>
    <comment ref="L4" authorId="0" shapeId="0" xr:uid="{00000000-0006-0000-0500-00000200000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7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9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9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9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2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2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2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2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2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<sst xmlns="http://schemas.openxmlformats.org/spreadsheetml/2006/main" count="898" uniqueCount="369">
  <si>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</si>
  <si>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</si>
  <si>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</si>
  <si>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</si>
  <si>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</si>
  <si>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</si>
  <si>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</si>
  <si>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</si>
  <si>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</si>
  <si>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</si>
  <si>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</si>
  <si>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</si>
  <si>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</si>
  <si>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</si>
  <si>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</si>
  <si>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</si>
  <si>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</si>
  <si>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</si>
  <si>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</si>
  <si>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</si>
  <si>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</si>
  <si>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</si>
  <si>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</si>
  <si>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</si>
  <si>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</si>
  <si>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</si>
  <si>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</si>
  <si>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</si>
  <si>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</si>
  <si>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</si>
  <si>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</si>
  <si>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</si>
  <si>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</si>
  <si>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</si>
  <si>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</si>
  <si>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</si>
  <si>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</si>
  <si>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</si>
  <si>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</si>
  <si>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</si>
  <si>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</si>
  <si>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</si>
  <si>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</si>
  <si>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</si>
  <si>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</si>
  <si>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</si>
  <si>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</si>
  <si>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</si>
  <si>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</si>
  <si>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</si>
  <si>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</si>
  <si>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</si>
  <si>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</si>
  <si>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</si>
  <si>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</si>
  <si>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</si>
  <si>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</si>
  <si>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</si>
  <si>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</si>
  <si>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</si>
  <si>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</si>
  <si>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</si>
  <si>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</si>
  <si>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</si>
  <si>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</si>
  <si>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</si>
  <si>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</si>
  <si>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</si>
  <si>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</si>
  <si>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</si>
  <si>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</si>
  <si>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</si>
  <si>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</si>
  <si>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</si>
  <si>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</si>
  <si>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</si>
  <si>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</si>
  <si>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</si>
  <si>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</si>
  <si>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</si>
  <si>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</si>
  <si>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</si>
  <si>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</si>
  <si>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</si>
  <si>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</si>
  <si>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</si>
  <si>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</si>
  <si>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</si>
  <si>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</si>
  <si>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</si>
  <si>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</si>
  <si>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</si>
  <si>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</si>
  <si>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</si>
  <si>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</si>
  <si>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</si>
  <si>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</si>
  <si>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</si>
  <si>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</si>
  <si>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</si>
  <si>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</si>
  <si>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</si>
  <si>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</si>
  <si>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</si>
  <si>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</si>
  <si>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</si>
  <si>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</si>
  <si>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</si>
  <si>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</si>
  <si>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</si>
  <si>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</si>
  <si>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</si>
  <si>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</si>
  <si>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</si>
  <si>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</si>
  <si>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</si>
  <si>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</si>
  <si>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</si>
  <si>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</si>
  <si>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</si>
  <si>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</si>
  <si>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</si>
  <si>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</si>
  <si>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</si>
  <si>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</si>
  <si>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</si>
  <si>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</si>
  <si>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</si>
  <si>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</si>
  <si>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</si>
  <si>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</si>
  <si>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</si>
  <si>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</si>
  <si>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</si>
  <si>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</si>
  <si>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</si>
  <si>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</si>
  <si>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</si>
  <si>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</si>
  <si>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</si>
  <si>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</si>
  <si>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</si>
  <si>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</si>
  <si>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</si>
  <si>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</si>
  <si>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</si>
  <si>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</si>
  <si>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</si>
  <si>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</si>
  <si>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</si>
  <si>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</si>
  <si>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</si>
  <si>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</si>
  <si>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</si>
  <si>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</si>
  <si>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</si>
  <si>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</si>
  <si>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</si>
  <si>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</si>
  <si>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</si>
  <si>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</si>
  <si>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</si>
  <si>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</si>
  <si>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</si>
  <si>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</si>
  <si>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</si>
  <si>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</si>
  <si>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</si>
  <si>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</si>
  <si>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</si>
  <si>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</si>
  <si>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</si>
  <si>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</si>
  <si>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</si>
  <si>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</si>
  <si>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</si>
  <si>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</si>
  <si>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</si>
  <si>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</si>
  <si>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</si>
  <si>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</si>
  <si>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</si>
  <si>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</si>
  <si>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</si>
  <si>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</si>
  <si>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</si>
  <si>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</si>
  <si>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</si>
  <si>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</si>
  <si>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</si>
  <si>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</si>
  <si>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</si>
  <si>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</si>
  <si>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</si>
  <si>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</si>
  <si>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</si>
  <si>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</si>
  <si>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</si>
  <si>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</si>
  <si>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</si>
  <si>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</si>
  <si>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</si>
  <si>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</si>
  <si>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</si>
  <si>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</si>
  <si>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</si>
  <si>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</si>
  <si>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</si>
  <si>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</si>
  <si>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</si>
  <si>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</si>
  <si>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</si>
  <si>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</si>
  <si>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</si>
  <si>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</si>
  <si>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</si>
  <si>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</si>
  <si>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</si>
  <si>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</si>
  <si>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</si>
  <si>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</si>
  <si>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</si>
  <si>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</si>
  <si>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</si>
  <si>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</si>
  <si>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</si>
  <si>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</si>
  <si>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</si>
  <si>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</si>
  <si>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</si>
  <si>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</si>
  <si>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</si>
  <si>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</si>
  <si>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</si>
  <si>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</si>
  <si>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</si>
  <si>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</si>
  <si>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</si>
  <si>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</si>
  <si>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</si>
  <si>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</si>
  <si>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</si>
  <si>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</si>
  <si>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</si>
  <si>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</si>
  <si>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</si>
  <si>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</si>
  <si>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</si>
  <si>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</si>
  <si>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</si>
  <si>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</si>
  <si>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</si>
  <si>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</si>
  <si>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</si>
  <si>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</si>
  <si>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</si>
  <si>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</si>
  <si>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</si>
  <si>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</si>
  <si>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</si>
  <si>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</si>
  <si>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</si>
  <si>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</si>
  <si>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</si>
  <si>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</si>
  <si>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</si>
  <si>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</si>
  <si>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</si>
  <si>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</si>
  <si>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</si>
  <si>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</si>
  <si>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</si>
  <si>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</si>
  <si>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</si>
  <si>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</si>
  <si>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</si>
  <si>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</si>
  <si>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</si>
  <si>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</si>
  <si>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</si>
  <si>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</si>
  <si>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</si>
  <si>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</si>
  <si>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</si>
  <si>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</si>
  <si>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</si>
  <si>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</si>
  <si>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</si>
  <si>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</si>
  <si>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</si>
  <si>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</si>
  <si>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</si>
  <si>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</si>
  <si>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</si>
  <si>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</si>
  <si>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</si>
  <si>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</si>
  <si>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</si>
  <si>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</si>
  <si>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</si>
  <si>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</si>
  <si>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</si>
  <si>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</si>
  <si>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</si>
  <si>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</si>
  <si>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</si>
  <si>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</si>
  <si>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</si>
  <si>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</si>
  <si>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</si>
  <si>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</si>
  <si>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</si>
  <si>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</si>
  <si>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</si>
  <si>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</si>
  <si>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</si>
  <si>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</si>
  <si>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</si>
  <si>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</si>
  <si>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</si>
  <si>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</si>
  <si>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</si>
  <si>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</si>
  <si>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</si>
  <si>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</si>
  <si>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</si>
  <si>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</si>
  <si>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</si>
  <si>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</si>
  <si>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</si>
  <si>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</si>
  <si>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</si>
  <si>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</si>
  <si>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</si>
  <si>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</si>
  <si>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</si>
  <si>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</si>
  <si>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</si>
  <si>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</si>
  <si>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</si>
  <si>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</si>
  <si>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</si>
  <si>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</si>
  <si>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</si>
  <si>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</si>
  <si>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</si>
  <si>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</si>
  <si>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</si>
  <si>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</si>
  <si>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易聯網組織業務報告表(LOS Map Report)</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</si>
  <si>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</si>
  <si>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</si>
  <si>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</si>
  <si>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</si>
  <si>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</si>
  <si>
    <t>2019年公司日本之旅查閱積分頁面</t>
    <phoneticPr fontId="1" type="noConversion"/>
  </si>
  <si>
    <t>软通10MD</t>
    <phoneticPr fontId="1" type="noConversion"/>
  </si>
  <si>
    <t>软通40MD</t>
    <phoneticPr fontId="1" type="noConversion"/>
  </si>
  <si>
    <t>AHK AmanetV6.16.0</t>
  </si>
  <si>
    <t>待分析</t>
  </si>
  <si>
    <t>Elaine Kwong</t>
    <phoneticPr fontId="1" type="noConversion"/>
  </si>
  <si>
    <t>Marketing</t>
    <phoneticPr fontId="1" type="noConversion"/>
  </si>
  <si>
    <t>AHK AmanetV6.18.0</t>
    <phoneticPr fontId="1" type="noConversion"/>
  </si>
  <si>
    <t>AHK AmanetV6.19.0</t>
    <phoneticPr fontId="1" type="noConversion"/>
  </si>
  <si>
    <t>AHK AmanetV6.20.0</t>
    <phoneticPr fontId="1" type="noConversion"/>
  </si>
  <si>
    <t>AHK AmanetV6.21.0</t>
    <phoneticPr fontId="1" type="noConversion"/>
  </si>
  <si>
    <t>AHK AmanetV6.22.0</t>
    <phoneticPr fontId="1" type="noConversion"/>
  </si>
  <si>
    <t>AHK AmanetV6.23.0</t>
    <phoneticPr fontId="1" type="noConversion"/>
  </si>
  <si>
    <t>AHK AmanetV6.24.0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</si>
</sst>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7">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0" fontId="68" fillId="0" borderId="10" xfId="0" applyFont="1" applyFill="1" applyBorder="1" applyAlignment="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0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2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 uri="{FF2B5EF4-FFF2-40B4-BE49-F238E27FC236}">
                  <a16:creationId xmlns:a16="http://schemas.microsoft.com/office/drawing/2014/main" id="{00000000-0008-0000-0A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B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B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C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D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E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E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F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F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10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10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1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1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2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4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4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4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4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4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4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4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6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3" t="s">
        <v>318</v>
      </c>
      <c r="C2" s="243"/>
      <c r="D2" s="243"/>
      <c r="E2" s="243"/>
      <c r="F2" s="243"/>
      <c r="G2" s="243"/>
    </row>
    <row r="3" spans="2:7" ht="125.25" customHeight="1" x14ac:dyDescent="0.2">
      <c r="B3" s="244" t="s">
        <v>316</v>
      </c>
      <c r="C3" s="244"/>
      <c r="D3" s="244"/>
      <c r="E3" s="244"/>
      <c r="F3" s="244"/>
      <c r="G3" s="244"/>
    </row>
    <row r="4" spans="2:7" ht="13.5" customHeight="1" x14ac:dyDescent="0.2">
      <c r="B4" s="185"/>
      <c r="C4" s="186"/>
      <c r="D4" s="245"/>
      <c r="E4" s="246"/>
      <c r="F4" s="246"/>
      <c r="G4" s="247"/>
    </row>
    <row r="5" spans="2:7" ht="14.25" x14ac:dyDescent="0.3">
      <c r="B5" s="187" t="s">
        <v>280</v>
      </c>
      <c r="C5" s="176" t="s">
        <v>266</v>
      </c>
      <c r="D5" s="188"/>
      <c r="E5" s="189"/>
      <c r="F5" s="189"/>
      <c r="G5" s="190"/>
    </row>
    <row r="6" spans="2:7" ht="14.25" customHeight="1" x14ac:dyDescent="0.3">
      <c r="B6" s="182" t="s">
        <v>281</v>
      </c>
      <c r="C6" s="191">
        <f>COUNTIF(ISR清单!I4:I47,"待分析")</f>
        <v>1</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8" t="s">
        <v>301</v>
      </c>
      <c r="C25" s="249"/>
      <c r="D25" s="249"/>
      <c r="E25" s="249"/>
      <c r="F25" s="249"/>
      <c r="G25" s="250"/>
    </row>
    <row r="26" spans="2:7" ht="14.25" x14ac:dyDescent="0.2">
      <c r="B26" s="179" t="s">
        <v>302</v>
      </c>
      <c r="C26" s="179" t="s">
        <v>280</v>
      </c>
      <c r="D26" s="179" t="s">
        <v>303</v>
      </c>
      <c r="E26" s="251" t="s">
        <v>304</v>
      </c>
      <c r="F26" s="252"/>
      <c r="G26" s="179" t="s">
        <v>305</v>
      </c>
    </row>
    <row r="27" spans="2:7" ht="23.25" customHeight="1" x14ac:dyDescent="0.2">
      <c r="B27" s="173" t="s">
        <v>181</v>
      </c>
      <c r="C27" s="173" t="s">
        <v>182</v>
      </c>
      <c r="D27" s="206">
        <v>42908</v>
      </c>
      <c r="E27" s="237" t="s">
        <v>183</v>
      </c>
      <c r="F27" s="238"/>
      <c r="G27" s="207"/>
    </row>
    <row r="28" spans="2:7" x14ac:dyDescent="0.2">
      <c r="B28" s="174" t="s">
        <v>306</v>
      </c>
      <c r="C28" s="173" t="s">
        <v>307</v>
      </c>
      <c r="D28" s="206">
        <v>42908</v>
      </c>
      <c r="E28" s="239" t="s">
        <v>308</v>
      </c>
      <c r="F28" s="240"/>
      <c r="G28" s="207"/>
    </row>
    <row r="29" spans="2:7" x14ac:dyDescent="0.2">
      <c r="B29" s="173"/>
      <c r="C29" s="173"/>
      <c r="D29" s="173"/>
      <c r="E29" s="241"/>
      <c r="F29" s="238"/>
      <c r="G29" s="173"/>
    </row>
    <row r="30" spans="2:7" ht="88.5" customHeight="1" x14ac:dyDescent="0.2">
      <c r="B30" s="208" t="s">
        <v>309</v>
      </c>
      <c r="C30" s="242" t="s">
        <v>310</v>
      </c>
      <c r="D30" s="242"/>
      <c r="E30" s="242"/>
      <c r="F30" s="242"/>
      <c r="G30" s="242"/>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3" t="s">
        <v>330</v>
      </c>
      <c r="C2" s="243"/>
      <c r="D2" s="243"/>
      <c r="E2" s="243"/>
      <c r="F2" s="243"/>
      <c r="G2" s="243"/>
    </row>
    <row r="3" spans="2:7" ht="125.25" customHeight="1" x14ac:dyDescent="0.2">
      <c r="B3" s="244" t="s">
        <v>329</v>
      </c>
      <c r="C3" s="244"/>
      <c r="D3" s="244"/>
      <c r="E3" s="244"/>
      <c r="F3" s="244"/>
      <c r="G3" s="244"/>
    </row>
    <row r="4" spans="2:7" ht="13.5" customHeight="1" x14ac:dyDescent="0.2">
      <c r="B4" s="138"/>
      <c r="C4" s="139"/>
      <c r="D4" s="245"/>
      <c r="E4" s="246"/>
      <c r="F4" s="246"/>
      <c r="G4" s="247"/>
    </row>
    <row r="5" spans="2:7" ht="14.25" x14ac:dyDescent="0.3">
      <c r="B5" s="140" t="s">
        <v>280</v>
      </c>
      <c r="C5" s="129" t="s">
        <v>266</v>
      </c>
      <c r="D5" s="141"/>
      <c r="E5" s="142"/>
      <c r="F5" s="142"/>
      <c r="G5" s="143"/>
    </row>
    <row r="6" spans="2:7" ht="14.25" customHeight="1" x14ac:dyDescent="0.3">
      <c r="B6" s="135" t="s">
        <v>281</v>
      </c>
      <c r="C6" s="160">
        <f>COUNTIF(ISR清单!I4:I47,"待分析")</f>
        <v>1</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8" t="s">
        <v>301</v>
      </c>
      <c r="C25" s="249"/>
      <c r="D25" s="249"/>
      <c r="E25" s="249"/>
      <c r="F25" s="249"/>
      <c r="G25" s="250"/>
    </row>
    <row r="26" spans="2:7" ht="14.25" x14ac:dyDescent="0.2">
      <c r="B26" s="132" t="s">
        <v>302</v>
      </c>
      <c r="C26" s="132" t="s">
        <v>280</v>
      </c>
      <c r="D26" s="132" t="s">
        <v>303</v>
      </c>
      <c r="E26" s="251" t="s">
        <v>304</v>
      </c>
      <c r="F26" s="252"/>
      <c r="G26" s="132" t="s">
        <v>305</v>
      </c>
    </row>
    <row r="27" spans="2:7" x14ac:dyDescent="0.2">
      <c r="B27" s="209" t="s">
        <v>181</v>
      </c>
      <c r="C27" s="209" t="s">
        <v>182</v>
      </c>
      <c r="D27" s="210">
        <v>42908</v>
      </c>
      <c r="E27" s="253" t="s">
        <v>183</v>
      </c>
      <c r="F27" s="254"/>
      <c r="G27" s="211"/>
    </row>
    <row r="28" spans="2:7" x14ac:dyDescent="0.2">
      <c r="B28" s="209" t="s">
        <v>306</v>
      </c>
      <c r="C28" s="209" t="s">
        <v>307</v>
      </c>
      <c r="D28" s="210">
        <v>42908</v>
      </c>
      <c r="E28" s="255" t="s">
        <v>308</v>
      </c>
      <c r="F28" s="256"/>
      <c r="G28" s="211"/>
    </row>
    <row r="29" spans="2:7" x14ac:dyDescent="0.2">
      <c r="B29" s="127"/>
      <c r="C29" s="127"/>
      <c r="D29" s="127"/>
      <c r="E29" s="241"/>
      <c r="F29" s="238"/>
      <c r="G29" s="127"/>
    </row>
    <row r="30" spans="2:7" ht="88.5" customHeight="1" x14ac:dyDescent="0.2">
      <c r="B30" s="212" t="s">
        <v>309</v>
      </c>
      <c r="C30" s="257" t="s">
        <v>310</v>
      </c>
      <c r="D30" s="257"/>
      <c r="E30" s="257"/>
      <c r="F30" s="257"/>
      <c r="G30" s="257"/>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60" t="s">
        <v>38</v>
      </c>
      <c r="C6" s="260"/>
      <c r="D6" s="260"/>
      <c r="E6" s="260"/>
      <c r="F6" s="260"/>
    </row>
    <row r="8" spans="2:6" ht="14.25" x14ac:dyDescent="0.15">
      <c r="B8" s="258" t="s">
        <v>1</v>
      </c>
      <c r="C8" s="258"/>
      <c r="D8" s="258"/>
      <c r="E8" s="258"/>
      <c r="F8" s="258"/>
    </row>
    <row r="9" spans="2:6" ht="6.75" customHeight="1" x14ac:dyDescent="0.15">
      <c r="B9" s="259"/>
      <c r="C9" s="259"/>
      <c r="D9" s="259"/>
      <c r="E9" s="259"/>
      <c r="F9" s="259"/>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3"/>
  <sheetViews>
    <sheetView topLeftCell="A7" workbookViewId="0">
      <selection activeCell="A26" sqref="A26:XFD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18" t="s">
        <v>362</v>
      </c>
      <c r="B26" s="15"/>
      <c r="C26" s="15"/>
      <c r="D26" s="9"/>
      <c r="E26" s="9"/>
    </row>
    <row r="27" spans="1:5" x14ac:dyDescent="0.2">
      <c r="A27" s="118" t="s">
        <v>363</v>
      </c>
      <c r="B27" s="15"/>
      <c r="C27" s="15"/>
      <c r="D27" s="9"/>
      <c r="E27" s="9"/>
    </row>
    <row r="28" spans="1:5" x14ac:dyDescent="0.2">
      <c r="A28" s="118" t="s">
        <v>364</v>
      </c>
      <c r="B28" s="15"/>
      <c r="C28" s="15"/>
      <c r="D28" s="9"/>
      <c r="E28" s="9"/>
    </row>
    <row r="29" spans="1:5" x14ac:dyDescent="0.2">
      <c r="A29" s="118" t="s">
        <v>365</v>
      </c>
      <c r="B29" s="15"/>
      <c r="C29" s="15"/>
      <c r="D29" s="9"/>
      <c r="E29" s="9"/>
    </row>
    <row r="30" spans="1:5" x14ac:dyDescent="0.2">
      <c r="A30" s="118" t="s">
        <v>366</v>
      </c>
      <c r="B30" s="15"/>
      <c r="C30" s="15"/>
      <c r="D30" s="9"/>
      <c r="E30" s="9"/>
    </row>
    <row r="31" spans="1:5" x14ac:dyDescent="0.2">
      <c r="A31" s="118" t="s">
        <v>367</v>
      </c>
      <c r="B31" s="15"/>
      <c r="C31" s="15"/>
      <c r="D31" s="9"/>
      <c r="E31" s="9"/>
    </row>
    <row r="32" spans="1:5" x14ac:dyDescent="0.2">
      <c r="A32" s="118" t="s">
        <v>368</v>
      </c>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65"/>
  <sheetViews>
    <sheetView tabSelected="1" topLeftCell="A14" workbookViewId="0">
      <selection activeCell="N22" sqref="N22"/>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1" t="s">
        <v>40</v>
      </c>
      <c r="B1" s="261"/>
      <c r="C1" s="261"/>
    </row>
    <row r="2" spans="1:18" ht="14.25" customHeight="1" x14ac:dyDescent="0.15">
      <c r="A2" s="262" t="s">
        <v>42</v>
      </c>
      <c r="B2" s="262"/>
      <c r="C2" s="262"/>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352</v>
      </c>
      <c r="B18" s="228"/>
      <c r="C18" s="227" t="s">
        <v>342</v>
      </c>
      <c r="D18" s="227" t="s">
        <v>342</v>
      </c>
      <c r="E18" s="227" t="s">
        <v>277</v>
      </c>
      <c r="F18" s="227" t="s">
        <v>278</v>
      </c>
      <c r="G18" s="228"/>
      <c r="H18" s="227"/>
      <c r="I18" s="229" t="s">
        <v>175</v>
      </c>
      <c r="J18" s="230"/>
      <c r="K18" s="229"/>
      <c r="L18" s="229"/>
      <c r="M18" s="229"/>
      <c r="N18" s="229" t="s">
        <v>358</v>
      </c>
      <c r="O18" s="229" t="s">
        <v>274</v>
      </c>
      <c r="P18" s="229"/>
      <c r="Q18" s="229"/>
      <c r="R18" s="231">
        <v>32800</v>
      </c>
    </row>
    <row r="19" spans="1:18" ht="13.5" customHeight="1" x14ac:dyDescent="0.15">
      <c r="A19" s="227" t="s">
        <v>350</v>
      </c>
      <c r="B19" s="228"/>
      <c r="C19" s="227" t="s">
        <v>346</v>
      </c>
      <c r="D19" s="227" t="s">
        <v>346</v>
      </c>
      <c r="E19" s="232" t="s">
        <v>347</v>
      </c>
      <c r="F19" s="232" t="s">
        <v>348</v>
      </c>
      <c r="G19" s="228"/>
      <c r="H19" s="227"/>
      <c r="I19" s="229" t="s">
        <v>175</v>
      </c>
      <c r="J19" s="230"/>
      <c r="K19" s="229"/>
      <c r="L19" s="229"/>
      <c r="M19" s="229"/>
      <c r="N19" s="229" t="s">
        <v>358</v>
      </c>
      <c r="O19" s="229" t="s">
        <v>274</v>
      </c>
      <c r="P19" s="229"/>
      <c r="Q19" s="229" t="s">
        <v>351</v>
      </c>
      <c r="R19" s="231">
        <v>31300</v>
      </c>
    </row>
    <row r="20" spans="1:18" ht="13.5" customHeight="1" x14ac:dyDescent="0.15">
      <c r="A20" s="227"/>
      <c r="B20" s="228"/>
      <c r="C20" s="227" t="s">
        <v>349</v>
      </c>
      <c r="D20" s="227" t="s">
        <v>349</v>
      </c>
      <c r="E20" s="232" t="s">
        <v>347</v>
      </c>
      <c r="F20" s="232" t="s">
        <v>348</v>
      </c>
      <c r="G20" s="228"/>
      <c r="H20" s="227"/>
      <c r="I20" s="229" t="s">
        <v>175</v>
      </c>
      <c r="J20" s="230"/>
      <c r="K20" s="229"/>
      <c r="L20" s="229"/>
      <c r="M20" s="229"/>
      <c r="N20" s="229" t="s">
        <v>358</v>
      </c>
      <c r="O20" s="229" t="s">
        <v>274</v>
      </c>
      <c r="P20" s="229"/>
      <c r="Q20" s="229"/>
      <c r="R20" s="231"/>
    </row>
    <row r="21" spans="1:18" ht="13.5" customHeight="1" x14ac:dyDescent="0.15">
      <c r="A21" s="227"/>
      <c r="B21" s="228"/>
      <c r="C21" s="232" t="s">
        <v>353</v>
      </c>
      <c r="D21" s="236" t="s">
        <v>353</v>
      </c>
      <c r="E21" s="232" t="s">
        <v>277</v>
      </c>
      <c r="F21" s="232" t="s">
        <v>278</v>
      </c>
      <c r="G21" s="228"/>
      <c r="H21" s="227"/>
      <c r="I21" s="229" t="s">
        <v>175</v>
      </c>
      <c r="J21" s="230"/>
      <c r="K21" s="229"/>
      <c r="L21" s="229"/>
      <c r="M21" s="229"/>
      <c r="N21" s="229" t="s">
        <v>358</v>
      </c>
      <c r="O21" s="229" t="s">
        <v>274</v>
      </c>
      <c r="P21" s="229"/>
      <c r="Q21" s="229" t="s">
        <v>356</v>
      </c>
      <c r="R21" s="231"/>
    </row>
    <row r="22" spans="1:18" ht="13.5" customHeight="1" x14ac:dyDescent="0.15">
      <c r="A22" s="227"/>
      <c r="B22" s="228"/>
      <c r="C22" s="227" t="s">
        <v>354</v>
      </c>
      <c r="D22" s="227" t="s">
        <v>354</v>
      </c>
      <c r="E22" s="232" t="s">
        <v>277</v>
      </c>
      <c r="F22" s="232" t="s">
        <v>278</v>
      </c>
      <c r="G22" s="228"/>
      <c r="H22" s="227"/>
      <c r="I22" s="229" t="s">
        <v>317</v>
      </c>
      <c r="J22" s="230"/>
      <c r="K22" s="229"/>
      <c r="L22" s="229"/>
      <c r="M22" s="229"/>
      <c r="N22" s="229"/>
      <c r="O22" s="229"/>
      <c r="P22" s="229"/>
      <c r="Q22" s="229" t="s">
        <v>357</v>
      </c>
      <c r="R22" s="231"/>
    </row>
    <row r="23" spans="1:18" ht="13.5" customHeight="1" x14ac:dyDescent="0.15">
      <c r="A23" s="227"/>
      <c r="B23" s="228"/>
      <c r="C23" s="227" t="s">
        <v>355</v>
      </c>
      <c r="D23" s="227" t="s">
        <v>355</v>
      </c>
      <c r="E23" s="227" t="s">
        <v>360</v>
      </c>
      <c r="F23" s="227" t="s">
        <v>361</v>
      </c>
      <c r="G23" s="228"/>
      <c r="H23" s="227"/>
      <c r="I23" s="229" t="s">
        <v>359</v>
      </c>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O39:O40 O27:O36 O25 O23 N4:N47" xr:uid="{00000000-0002-0000-0400-000000000000}">
      <formula1>版本名称</formula1>
    </dataValidation>
    <dataValidation type="list" allowBlank="1" showInputMessage="1" showErrorMessage="1" sqref="H4:H32 H34:H40" xr:uid="{00000000-0002-0000-0400-000001000000}">
      <formula1>"是,否"</formula1>
    </dataValidation>
    <dataValidation type="list" allowBlank="1" showInputMessage="1" showErrorMessage="1" sqref="H33" xr:uid="{00000000-0002-0000-0400-000002000000}">
      <formula1>"已审核,已排期,已上线"</formula1>
    </dataValidation>
    <dataValidation type="list" allowBlank="1" showInputMessage="1" showErrorMessage="1" sqref="J4:J40 J42:J47" xr:uid="{00000000-0002-0000-0400-000003000000}">
      <formula1>"高,中,低"</formula1>
    </dataValidation>
    <dataValidation type="list" allowBlank="1" showInputMessage="1" showErrorMessage="1" sqref="I4:I65" xr:uid="{00000000-0002-0000-04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3" t="s">
        <v>40</v>
      </c>
      <c r="B1" s="263"/>
      <c r="C1" s="263"/>
      <c r="D1" s="33"/>
    </row>
    <row r="2" spans="1:18" ht="24" hidden="1" customHeight="1" x14ac:dyDescent="0.2">
      <c r="A2" s="32" t="s">
        <v>50</v>
      </c>
      <c r="B2" s="30"/>
      <c r="L2" s="10"/>
      <c r="O2" s="31"/>
    </row>
    <row r="3" spans="1:18" ht="14.25" customHeight="1" x14ac:dyDescent="0.2">
      <c r="A3" s="264" t="s">
        <v>55</v>
      </c>
      <c r="B3" s="264"/>
      <c r="C3" s="264"/>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500-000000000000}">
      <formula1>版本名称</formula1>
    </dataValidation>
    <dataValidation type="list" allowBlank="1" showInputMessage="1" showErrorMessage="1" sqref="H5:H30" xr:uid="{00000000-0002-0000-0500-000001000000}">
      <formula1>"已提交,处理中,已上线,已挂起"</formula1>
    </dataValidation>
    <dataValidation type="list" allowBlank="1" showInputMessage="1" showErrorMessage="1" sqref="I5:I25" xr:uid="{00000000-0002-0000-05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5" t="s">
        <v>81</v>
      </c>
      <c r="C2" s="266"/>
      <c r="D2" s="266"/>
      <c r="E2" s="266"/>
      <c r="F2" s="266"/>
      <c r="G2" s="266"/>
      <c r="H2" s="267"/>
    </row>
    <row r="3" spans="2:8" ht="159.75" customHeight="1" x14ac:dyDescent="0.2">
      <c r="B3" s="268" t="s">
        <v>82</v>
      </c>
      <c r="C3" s="269"/>
      <c r="D3" s="269"/>
      <c r="E3" s="269"/>
      <c r="F3" s="269"/>
      <c r="G3" s="269"/>
      <c r="H3" s="269"/>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6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5" t="s">
        <v>95</v>
      </c>
      <c r="C2" s="266"/>
      <c r="D2" s="266"/>
      <c r="E2" s="266"/>
      <c r="F2" s="266"/>
      <c r="G2" s="266"/>
      <c r="H2" s="267"/>
    </row>
    <row r="3" spans="2:8" ht="93.75" customHeight="1" x14ac:dyDescent="0.2">
      <c r="B3" s="268" t="s">
        <v>88</v>
      </c>
      <c r="C3" s="269"/>
      <c r="D3" s="269"/>
      <c r="E3" s="269"/>
      <c r="F3" s="269"/>
      <c r="G3" s="269"/>
      <c r="H3" s="269"/>
    </row>
    <row r="4" spans="2:8" ht="13.5" customHeight="1" x14ac:dyDescent="0.2"/>
    <row r="5" spans="2:8" ht="18" customHeight="1" x14ac:dyDescent="0.2">
      <c r="B5" s="16" t="s">
        <v>86</v>
      </c>
      <c r="C5" s="19">
        <f>COUNTIF(ISR清单!I4:I47,"待分析")</f>
        <v>1</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70" t="s">
        <v>94</v>
      </c>
      <c r="C18" s="271"/>
      <c r="D18" s="271"/>
      <c r="E18" s="271"/>
      <c r="F18" s="271"/>
      <c r="G18" s="271"/>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7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2" t="s">
        <v>57</v>
      </c>
      <c r="C2" s="273"/>
      <c r="D2" s="273"/>
      <c r="E2" s="273"/>
      <c r="F2" s="273"/>
      <c r="G2" s="273"/>
      <c r="H2" s="274"/>
    </row>
    <row r="3" spans="2:8" ht="141.75" customHeight="1" x14ac:dyDescent="0.2">
      <c r="B3" s="275" t="s">
        <v>100</v>
      </c>
      <c r="C3" s="276"/>
      <c r="D3" s="276"/>
      <c r="E3" s="276"/>
      <c r="F3" s="276"/>
      <c r="G3" s="276"/>
      <c r="H3" s="277"/>
    </row>
    <row r="4" spans="2:8" ht="13.5" customHeight="1" x14ac:dyDescent="0.2"/>
    <row r="5" spans="2:8" x14ac:dyDescent="0.2">
      <c r="B5" s="16" t="s">
        <v>61</v>
      </c>
      <c r="C5" s="9" t="s">
        <v>93</v>
      </c>
    </row>
    <row r="6" spans="2:8" ht="14.25" customHeight="1" x14ac:dyDescent="0.2">
      <c r="B6" s="16" t="s">
        <v>86</v>
      </c>
      <c r="C6" s="19">
        <f>COUNTIF(ISR清单!I4:I47,"待分析")</f>
        <v>1</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8" t="s">
        <v>97</v>
      </c>
      <c r="F33" s="279"/>
      <c r="G33" s="286" t="s">
        <v>20</v>
      </c>
      <c r="H33" s="287"/>
    </row>
    <row r="34" spans="2:8" x14ac:dyDescent="0.2">
      <c r="B34" s="9"/>
      <c r="C34" s="9"/>
      <c r="D34" s="25"/>
      <c r="E34" s="280"/>
      <c r="F34" s="281"/>
      <c r="G34" s="282"/>
      <c r="H34" s="283"/>
    </row>
    <row r="35" spans="2:8" x14ac:dyDescent="0.2">
      <c r="B35" s="9"/>
      <c r="C35" s="9"/>
      <c r="D35" s="25"/>
      <c r="E35" s="280"/>
      <c r="F35" s="281"/>
      <c r="G35" s="282"/>
      <c r="H35" s="283"/>
    </row>
    <row r="36" spans="2:8" x14ac:dyDescent="0.2">
      <c r="B36" s="9"/>
      <c r="C36" s="9"/>
      <c r="D36" s="25"/>
      <c r="E36" s="280"/>
      <c r="F36" s="281"/>
      <c r="G36" s="282"/>
      <c r="H36" s="283"/>
    </row>
    <row r="38" spans="2:8" ht="78" customHeight="1" x14ac:dyDescent="0.2">
      <c r="B38" s="16" t="s">
        <v>62</v>
      </c>
      <c r="C38" s="284" t="s">
        <v>144</v>
      </c>
      <c r="D38" s="285"/>
      <c r="E38" s="285"/>
      <c r="F38" s="285"/>
      <c r="G38" s="285"/>
      <c r="H38" s="285"/>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900-000000000000}">
      <formula1>"已提交,已关闭"</formula1>
    </dataValidation>
    <dataValidation type="list" allowBlank="1" showInputMessage="1" showErrorMessage="1" sqref="M2:M63" xr:uid="{00000000-0002-0000-0900-000001000000}">
      <formula1>"是,否"</formula1>
    </dataValidation>
    <dataValidation type="list" allowBlank="1" showInputMessage="1" showErrorMessage="1" sqref="I2:J63" xr:uid="{00000000-0002-0000-0900-000002000000}">
      <formula1>"10,9,8,7,6,5,4,3,2,1"</formula1>
    </dataValidation>
    <dataValidation type="list" allowBlank="1" showInputMessage="1" showErrorMessage="1" sqref="O2:O63" xr:uid="{00000000-0002-0000-0900-000003000000}">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3" t="s">
        <v>345</v>
      </c>
      <c r="C2" s="243"/>
      <c r="D2" s="243"/>
      <c r="E2" s="243"/>
      <c r="F2" s="243"/>
      <c r="G2" s="243"/>
    </row>
    <row r="3" spans="2:7" ht="125.25" customHeight="1" x14ac:dyDescent="0.2">
      <c r="B3" s="244" t="s">
        <v>344</v>
      </c>
      <c r="C3" s="244"/>
      <c r="D3" s="244"/>
      <c r="E3" s="244"/>
      <c r="F3" s="244"/>
      <c r="G3" s="244"/>
    </row>
    <row r="4" spans="2:7" ht="13.5" customHeight="1" x14ac:dyDescent="0.2">
      <c r="B4" s="185"/>
      <c r="C4" s="186"/>
      <c r="D4" s="245"/>
      <c r="E4" s="246"/>
      <c r="F4" s="246"/>
      <c r="G4" s="247"/>
    </row>
    <row r="5" spans="2:7" ht="14.25" x14ac:dyDescent="0.3">
      <c r="B5" s="187" t="s">
        <v>280</v>
      </c>
      <c r="C5" s="176" t="s">
        <v>266</v>
      </c>
      <c r="D5" s="188"/>
      <c r="E5" s="189"/>
      <c r="F5" s="189"/>
      <c r="G5" s="190"/>
    </row>
    <row r="6" spans="2:7" ht="14.25" customHeight="1" x14ac:dyDescent="0.3">
      <c r="B6" s="182" t="s">
        <v>281</v>
      </c>
      <c r="C6" s="191">
        <f>COUNTIF(ISR清单!I4:I47,"待分析")</f>
        <v>1</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8" t="s">
        <v>301</v>
      </c>
      <c r="C25" s="249"/>
      <c r="D25" s="249"/>
      <c r="E25" s="249"/>
      <c r="F25" s="249"/>
      <c r="G25" s="250"/>
    </row>
    <row r="26" spans="2:7" ht="14.25" x14ac:dyDescent="0.2">
      <c r="B26" s="179" t="s">
        <v>302</v>
      </c>
      <c r="C26" s="179" t="s">
        <v>280</v>
      </c>
      <c r="D26" s="179" t="s">
        <v>303</v>
      </c>
      <c r="E26" s="251" t="s">
        <v>304</v>
      </c>
      <c r="F26" s="252"/>
      <c r="G26" s="179" t="s">
        <v>305</v>
      </c>
    </row>
    <row r="27" spans="2:7" x14ac:dyDescent="0.2">
      <c r="B27" s="220"/>
      <c r="C27" s="220"/>
      <c r="D27" s="219"/>
      <c r="E27" s="253"/>
      <c r="F27" s="254"/>
      <c r="G27" s="211"/>
    </row>
    <row r="28" spans="2:7" x14ac:dyDescent="0.2">
      <c r="B28" s="220"/>
      <c r="C28" s="220"/>
      <c r="D28" s="219"/>
      <c r="E28" s="255"/>
      <c r="F28" s="256"/>
      <c r="G28" s="211"/>
    </row>
    <row r="29" spans="2:7" x14ac:dyDescent="0.2">
      <c r="B29" s="215"/>
      <c r="C29" s="215"/>
      <c r="D29" s="215"/>
      <c r="E29" s="241"/>
      <c r="F29" s="238"/>
      <c r="G29" s="215"/>
    </row>
    <row r="30" spans="2:7" ht="88.5" customHeight="1" x14ac:dyDescent="0.2">
      <c r="B30" s="212" t="s">
        <v>309</v>
      </c>
      <c r="C30" s="257" t="s">
        <v>310</v>
      </c>
      <c r="D30" s="257"/>
      <c r="E30" s="257"/>
      <c r="F30" s="257"/>
      <c r="G30" s="257"/>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312</v>
      </c>
      <c r="C2" s="243"/>
      <c r="D2" s="243"/>
      <c r="E2" s="243"/>
      <c r="F2" s="243"/>
      <c r="G2" s="243"/>
    </row>
    <row r="3" spans="2:7" ht="125.25" customHeight="1" x14ac:dyDescent="0.2">
      <c r="B3" s="244" t="s">
        <v>279</v>
      </c>
      <c r="C3" s="244"/>
      <c r="D3" s="244"/>
      <c r="E3" s="244"/>
      <c r="F3" s="244"/>
      <c r="G3" s="244"/>
    </row>
    <row r="4" spans="2:7" ht="13.5" customHeight="1" x14ac:dyDescent="0.2">
      <c r="B4" s="81"/>
      <c r="C4" s="82"/>
      <c r="D4" s="245"/>
      <c r="E4" s="246"/>
      <c r="F4" s="246"/>
      <c r="G4" s="247"/>
    </row>
    <row r="5" spans="2:7" ht="14.25" x14ac:dyDescent="0.3">
      <c r="B5" s="83" t="s">
        <v>14</v>
      </c>
      <c r="C5" s="72" t="s">
        <v>266</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8" t="s">
        <v>69</v>
      </c>
      <c r="C22" s="249"/>
      <c r="D22" s="249"/>
      <c r="E22" s="249"/>
      <c r="F22" s="249"/>
      <c r="G22" s="250"/>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t="s">
        <v>261</v>
      </c>
      <c r="C29" s="55"/>
      <c r="D29" s="123">
        <v>43291</v>
      </c>
      <c r="E29" s="241" t="s">
        <v>262</v>
      </c>
      <c r="F29" s="238"/>
      <c r="G29" s="55"/>
    </row>
    <row r="30" spans="2:7" ht="88.5" customHeight="1" x14ac:dyDescent="0.2">
      <c r="B30" s="105" t="s">
        <v>62</v>
      </c>
      <c r="C30" s="242" t="s">
        <v>210</v>
      </c>
      <c r="D30" s="242"/>
      <c r="E30" s="242"/>
      <c r="F30" s="242"/>
      <c r="G30" s="242"/>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246</v>
      </c>
      <c r="C2" s="243"/>
      <c r="D2" s="243"/>
      <c r="E2" s="243"/>
      <c r="F2" s="243"/>
      <c r="G2" s="243"/>
    </row>
    <row r="3" spans="2:7" ht="125.25" customHeight="1" x14ac:dyDescent="0.2">
      <c r="B3" s="244" t="s">
        <v>254</v>
      </c>
      <c r="C3" s="244"/>
      <c r="D3" s="244"/>
      <c r="E3" s="244"/>
      <c r="F3" s="244"/>
      <c r="G3" s="244"/>
    </row>
    <row r="4" spans="2:7" ht="13.5" customHeight="1" x14ac:dyDescent="0.2">
      <c r="B4" s="81"/>
      <c r="C4" s="82"/>
      <c r="D4" s="245"/>
      <c r="E4" s="246"/>
      <c r="F4" s="246"/>
      <c r="G4" s="247"/>
    </row>
    <row r="5" spans="2:7" ht="14.25" x14ac:dyDescent="0.3">
      <c r="B5" s="83" t="s">
        <v>14</v>
      </c>
      <c r="C5" s="72" t="s">
        <v>252</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8" t="s">
        <v>69</v>
      </c>
      <c r="C21" s="249"/>
      <c r="D21" s="249"/>
      <c r="E21" s="249"/>
      <c r="F21" s="249"/>
      <c r="G21" s="250"/>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t="s">
        <v>261</v>
      </c>
      <c r="C28" s="55"/>
      <c r="D28" s="123">
        <v>43291</v>
      </c>
      <c r="E28" s="241" t="s">
        <v>262</v>
      </c>
      <c r="F28" s="238"/>
      <c r="G28" s="55"/>
    </row>
    <row r="29" spans="2:7" ht="88.5" customHeight="1" x14ac:dyDescent="0.2">
      <c r="B29" s="105" t="s">
        <v>62</v>
      </c>
      <c r="C29" s="242" t="s">
        <v>210</v>
      </c>
      <c r="D29" s="242"/>
      <c r="E29" s="242"/>
      <c r="F29" s="242"/>
      <c r="G29" s="242"/>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246</v>
      </c>
      <c r="C2" s="243"/>
      <c r="D2" s="243"/>
      <c r="E2" s="243"/>
      <c r="F2" s="243"/>
      <c r="G2" s="243"/>
    </row>
    <row r="3" spans="2:7" ht="125.25" customHeight="1" x14ac:dyDescent="0.2">
      <c r="B3" s="244" t="s">
        <v>247</v>
      </c>
      <c r="C3" s="244"/>
      <c r="D3" s="244"/>
      <c r="E3" s="244"/>
      <c r="F3" s="244"/>
      <c r="G3" s="244"/>
    </row>
    <row r="4" spans="2:7" ht="13.5" customHeight="1" x14ac:dyDescent="0.2">
      <c r="B4" s="81"/>
      <c r="C4" s="82"/>
      <c r="D4" s="245"/>
      <c r="E4" s="246"/>
      <c r="F4" s="246"/>
      <c r="G4" s="247"/>
    </row>
    <row r="5" spans="2:7" ht="14.25" x14ac:dyDescent="0.3">
      <c r="B5" s="83" t="s">
        <v>14</v>
      </c>
      <c r="C5" s="72" t="s">
        <v>248</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8" t="s">
        <v>69</v>
      </c>
      <c r="C21" s="249"/>
      <c r="D21" s="249"/>
      <c r="E21" s="249"/>
      <c r="F21" s="249"/>
      <c r="G21" s="250"/>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c r="C28" s="55"/>
      <c r="D28" s="55"/>
      <c r="E28" s="241"/>
      <c r="F28" s="238"/>
      <c r="G28" s="55"/>
    </row>
    <row r="29" spans="2:7" ht="88.5" customHeight="1" x14ac:dyDescent="0.2">
      <c r="B29" s="105" t="s">
        <v>62</v>
      </c>
      <c r="C29" s="242" t="s">
        <v>210</v>
      </c>
      <c r="D29" s="242"/>
      <c r="E29" s="242"/>
      <c r="F29" s="242"/>
      <c r="G29" s="242"/>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239</v>
      </c>
      <c r="C2" s="243"/>
      <c r="D2" s="243"/>
      <c r="E2" s="243"/>
      <c r="F2" s="243"/>
      <c r="G2" s="243"/>
    </row>
    <row r="3" spans="2:7" ht="125.25" customHeight="1" x14ac:dyDescent="0.2">
      <c r="B3" s="244" t="s">
        <v>238</v>
      </c>
      <c r="C3" s="244"/>
      <c r="D3" s="244"/>
      <c r="E3" s="244"/>
      <c r="F3" s="244"/>
      <c r="G3" s="244"/>
    </row>
    <row r="4" spans="2:7" ht="13.5" customHeight="1" x14ac:dyDescent="0.2">
      <c r="B4" s="81"/>
      <c r="C4" s="82"/>
      <c r="D4" s="245"/>
      <c r="E4" s="246"/>
      <c r="F4" s="246"/>
      <c r="G4" s="247"/>
    </row>
    <row r="5" spans="2:7" ht="14.25" x14ac:dyDescent="0.3">
      <c r="B5" s="83" t="s">
        <v>14</v>
      </c>
      <c r="C5" s="72" t="s">
        <v>224</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8" t="s">
        <v>69</v>
      </c>
      <c r="C24" s="249"/>
      <c r="D24" s="249"/>
      <c r="E24" s="249"/>
      <c r="F24" s="249"/>
      <c r="G24" s="250"/>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c r="C29" s="55"/>
      <c r="D29" s="102"/>
      <c r="E29" s="237"/>
      <c r="F29" s="238"/>
      <c r="G29" s="103"/>
    </row>
    <row r="30" spans="2:7" x14ac:dyDescent="0.2">
      <c r="B30" s="104"/>
      <c r="C30" s="55"/>
      <c r="D30" s="102"/>
      <c r="E30" s="239"/>
      <c r="F30" s="240"/>
      <c r="G30" s="103"/>
    </row>
    <row r="31" spans="2:7" x14ac:dyDescent="0.2">
      <c r="B31" s="55"/>
      <c r="C31" s="55"/>
      <c r="D31" s="55"/>
      <c r="E31" s="241"/>
      <c r="F31" s="238"/>
      <c r="G31" s="55"/>
    </row>
    <row r="32" spans="2:7" ht="88.5" customHeight="1" x14ac:dyDescent="0.2">
      <c r="B32" s="105" t="s">
        <v>62</v>
      </c>
      <c r="C32" s="242" t="s">
        <v>210</v>
      </c>
      <c r="D32" s="242"/>
      <c r="E32" s="242"/>
      <c r="F32" s="242"/>
      <c r="G32" s="242"/>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211</v>
      </c>
      <c r="C2" s="243"/>
      <c r="D2" s="243"/>
      <c r="E2" s="243"/>
      <c r="F2" s="243"/>
      <c r="G2" s="243"/>
    </row>
    <row r="3" spans="2:7" ht="125.25" customHeight="1" x14ac:dyDescent="0.2">
      <c r="B3" s="244" t="s">
        <v>212</v>
      </c>
      <c r="C3" s="244"/>
      <c r="D3" s="244"/>
      <c r="E3" s="244"/>
      <c r="F3" s="244"/>
      <c r="G3" s="244"/>
    </row>
    <row r="4" spans="2:7" ht="13.5" customHeight="1" x14ac:dyDescent="0.2">
      <c r="B4" s="81"/>
      <c r="C4" s="82"/>
      <c r="D4" s="245"/>
      <c r="E4" s="246"/>
      <c r="F4" s="246"/>
      <c r="G4" s="247"/>
    </row>
    <row r="5" spans="2:7" ht="14.25" x14ac:dyDescent="0.3">
      <c r="B5" s="83" t="s">
        <v>14</v>
      </c>
      <c r="C5" s="72" t="s">
        <v>207</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8" t="s">
        <v>69</v>
      </c>
      <c r="C25" s="249"/>
      <c r="D25" s="249"/>
      <c r="E25" s="249"/>
      <c r="F25" s="249"/>
      <c r="G25" s="250"/>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8" t="s">
        <v>70</v>
      </c>
      <c r="C28" s="249"/>
      <c r="D28" s="249"/>
      <c r="E28" s="249"/>
      <c r="F28" s="249"/>
      <c r="G28" s="250"/>
    </row>
    <row r="29" spans="2:7" ht="14.25" x14ac:dyDescent="0.2">
      <c r="B29" s="75" t="s">
        <v>67</v>
      </c>
      <c r="C29" s="75" t="s">
        <v>14</v>
      </c>
      <c r="D29" s="75" t="s">
        <v>66</v>
      </c>
      <c r="E29" s="251" t="s">
        <v>97</v>
      </c>
      <c r="F29" s="252"/>
      <c r="G29" s="75" t="s">
        <v>16</v>
      </c>
    </row>
    <row r="30" spans="2:7" x14ac:dyDescent="0.2">
      <c r="B30" s="55"/>
      <c r="C30" s="55"/>
      <c r="D30" s="102"/>
      <c r="E30" s="237"/>
      <c r="F30" s="238"/>
      <c r="G30" s="103"/>
    </row>
    <row r="31" spans="2:7" x14ac:dyDescent="0.2">
      <c r="B31" s="104"/>
      <c r="C31" s="55"/>
      <c r="D31" s="102"/>
      <c r="E31" s="239"/>
      <c r="F31" s="240"/>
      <c r="G31" s="103"/>
    </row>
    <row r="32" spans="2:7" x14ac:dyDescent="0.2">
      <c r="B32" s="55"/>
      <c r="C32" s="55"/>
      <c r="D32" s="55"/>
      <c r="E32" s="241"/>
      <c r="F32" s="238"/>
      <c r="G32" s="55"/>
    </row>
    <row r="33" spans="2:7" ht="88.5" customHeight="1" x14ac:dyDescent="0.2">
      <c r="B33" s="105" t="s">
        <v>62</v>
      </c>
      <c r="C33" s="242" t="s">
        <v>210</v>
      </c>
      <c r="D33" s="242"/>
      <c r="E33" s="242"/>
      <c r="F33" s="242"/>
      <c r="G33" s="24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203</v>
      </c>
      <c r="C2" s="243"/>
      <c r="D2" s="243"/>
      <c r="E2" s="243"/>
      <c r="F2" s="243"/>
      <c r="G2" s="243"/>
    </row>
    <row r="3" spans="2:7" ht="125.25" customHeight="1" x14ac:dyDescent="0.2">
      <c r="B3" s="244" t="s">
        <v>202</v>
      </c>
      <c r="C3" s="244"/>
      <c r="D3" s="244"/>
      <c r="E3" s="244"/>
      <c r="F3" s="244"/>
      <c r="G3" s="244"/>
    </row>
    <row r="4" spans="2:7" ht="13.5" customHeight="1" x14ac:dyDescent="0.2">
      <c r="B4" s="81"/>
      <c r="C4" s="82"/>
      <c r="D4" s="245"/>
      <c r="E4" s="246"/>
      <c r="F4" s="246"/>
      <c r="G4" s="247"/>
    </row>
    <row r="5" spans="2:7" ht="14.25" x14ac:dyDescent="0.3">
      <c r="B5" s="83" t="s">
        <v>14</v>
      </c>
      <c r="C5" s="72" t="s">
        <v>200</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8" t="s">
        <v>69</v>
      </c>
      <c r="C24" s="249"/>
      <c r="D24" s="249"/>
      <c r="E24" s="249"/>
      <c r="F24" s="249"/>
      <c r="G24" s="250"/>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c r="C29" s="55"/>
      <c r="D29" s="102"/>
      <c r="E29" s="237"/>
      <c r="F29" s="238"/>
      <c r="G29" s="103"/>
    </row>
    <row r="30" spans="2:7" x14ac:dyDescent="0.2">
      <c r="B30" s="104"/>
      <c r="C30" s="55"/>
      <c r="D30" s="102"/>
      <c r="E30" s="239"/>
      <c r="F30" s="240"/>
      <c r="G30" s="103"/>
    </row>
    <row r="31" spans="2:7" x14ac:dyDescent="0.2">
      <c r="B31" s="55"/>
      <c r="C31" s="55"/>
      <c r="D31" s="55"/>
      <c r="E31" s="241"/>
      <c r="F31" s="238"/>
      <c r="G31" s="55"/>
    </row>
    <row r="32" spans="2:7" ht="88.5" customHeight="1" x14ac:dyDescent="0.2">
      <c r="B32" s="105" t="s">
        <v>62</v>
      </c>
      <c r="C32" s="242" t="s">
        <v>210</v>
      </c>
      <c r="D32" s="242"/>
      <c r="E32" s="242"/>
      <c r="F32" s="242"/>
      <c r="G32" s="242"/>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193</v>
      </c>
      <c r="C2" s="243"/>
      <c r="D2" s="243"/>
      <c r="E2" s="243"/>
      <c r="F2" s="243"/>
      <c r="G2" s="243"/>
    </row>
    <row r="3" spans="2:7" ht="125.25" customHeight="1" x14ac:dyDescent="0.2">
      <c r="B3" s="244" t="s">
        <v>194</v>
      </c>
      <c r="C3" s="244"/>
      <c r="D3" s="244"/>
      <c r="E3" s="244"/>
      <c r="F3" s="244"/>
      <c r="G3" s="244"/>
    </row>
    <row r="4" spans="2:7" ht="13.5" customHeight="1" x14ac:dyDescent="0.2">
      <c r="B4" s="81"/>
      <c r="C4" s="82"/>
      <c r="D4" s="245"/>
      <c r="E4" s="246"/>
      <c r="F4" s="246"/>
      <c r="G4" s="247"/>
    </row>
    <row r="5" spans="2:7" ht="14.25" x14ac:dyDescent="0.3">
      <c r="B5" s="83" t="s">
        <v>14</v>
      </c>
      <c r="C5" s="72" t="s">
        <v>192</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8" t="s">
        <v>69</v>
      </c>
      <c r="C23" s="249"/>
      <c r="D23" s="249"/>
      <c r="E23" s="249"/>
      <c r="F23" s="249"/>
      <c r="G23" s="250"/>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c r="C28" s="55"/>
      <c r="D28" s="102"/>
      <c r="E28" s="237"/>
      <c r="F28" s="238"/>
      <c r="G28" s="103"/>
    </row>
    <row r="29" spans="2:7" x14ac:dyDescent="0.2">
      <c r="B29" s="104"/>
      <c r="C29" s="55"/>
      <c r="D29" s="102"/>
      <c r="E29" s="239"/>
      <c r="F29" s="240"/>
      <c r="G29" s="103"/>
    </row>
    <row r="30" spans="2:7" x14ac:dyDescent="0.2">
      <c r="B30" s="55"/>
      <c r="C30" s="55"/>
      <c r="D30" s="55"/>
      <c r="E30" s="241"/>
      <c r="F30" s="238"/>
      <c r="G30" s="55"/>
    </row>
    <row r="31" spans="2:7" ht="88.5" customHeight="1" x14ac:dyDescent="0.2">
      <c r="B31" s="105" t="s">
        <v>62</v>
      </c>
      <c r="C31" s="242" t="s">
        <v>155</v>
      </c>
      <c r="D31" s="242"/>
      <c r="E31" s="242"/>
      <c r="F31" s="242"/>
      <c r="G31" s="242"/>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xr:uid="{00000000-0002-0000-1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180</v>
      </c>
      <c r="C2" s="243"/>
      <c r="D2" s="243"/>
      <c r="E2" s="243"/>
      <c r="F2" s="243"/>
      <c r="G2" s="243"/>
    </row>
    <row r="3" spans="2:7" ht="125.25" customHeight="1" x14ac:dyDescent="0.2">
      <c r="B3" s="244" t="s">
        <v>191</v>
      </c>
      <c r="C3" s="244"/>
      <c r="D3" s="244"/>
      <c r="E3" s="244"/>
      <c r="F3" s="244"/>
      <c r="G3" s="244"/>
    </row>
    <row r="4" spans="2:7" ht="13.5" customHeight="1" x14ac:dyDescent="0.2">
      <c r="B4" s="81"/>
      <c r="C4" s="82"/>
      <c r="D4" s="245"/>
      <c r="E4" s="246"/>
      <c r="F4" s="246"/>
      <c r="G4" s="247"/>
    </row>
    <row r="5" spans="2:7" ht="14.25" x14ac:dyDescent="0.3">
      <c r="B5" s="83" t="s">
        <v>14</v>
      </c>
      <c r="C5" s="72" t="s">
        <v>170</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8" t="s">
        <v>150</v>
      </c>
      <c r="C21" s="249"/>
      <c r="D21" s="249"/>
      <c r="E21" s="249"/>
      <c r="F21" s="249"/>
      <c r="G21" s="250"/>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8" t="s">
        <v>70</v>
      </c>
      <c r="C24" s="249"/>
      <c r="D24" s="249"/>
      <c r="E24" s="249"/>
      <c r="F24" s="249"/>
      <c r="G24" s="250"/>
    </row>
    <row r="25" spans="2:7" ht="14.25" x14ac:dyDescent="0.2">
      <c r="B25" s="75" t="s">
        <v>67</v>
      </c>
      <c r="C25" s="75" t="s">
        <v>14</v>
      </c>
      <c r="D25" s="75" t="s">
        <v>66</v>
      </c>
      <c r="E25" s="251" t="s">
        <v>97</v>
      </c>
      <c r="F25" s="252"/>
      <c r="G25" s="75" t="s">
        <v>16</v>
      </c>
    </row>
    <row r="26" spans="2:7" x14ac:dyDescent="0.2">
      <c r="B26" s="55" t="s">
        <v>181</v>
      </c>
      <c r="C26" s="55" t="s">
        <v>182</v>
      </c>
      <c r="D26" s="102">
        <v>42908</v>
      </c>
      <c r="E26" s="237" t="s">
        <v>183</v>
      </c>
      <c r="F26" s="238"/>
      <c r="G26" s="103"/>
    </row>
    <row r="27" spans="2:7" x14ac:dyDescent="0.2">
      <c r="B27" s="104" t="s">
        <v>184</v>
      </c>
      <c r="C27" s="55" t="s">
        <v>185</v>
      </c>
      <c r="D27" s="102">
        <v>42908</v>
      </c>
      <c r="E27" s="239" t="s">
        <v>186</v>
      </c>
      <c r="F27" s="240"/>
      <c r="G27" s="103"/>
    </row>
    <row r="28" spans="2:7" x14ac:dyDescent="0.2">
      <c r="B28" s="55"/>
      <c r="C28" s="55"/>
      <c r="D28" s="55"/>
      <c r="E28" s="241"/>
      <c r="F28" s="238"/>
      <c r="G28" s="55"/>
    </row>
    <row r="29" spans="2:7" ht="88.5" customHeight="1" x14ac:dyDescent="0.2">
      <c r="B29" s="105" t="s">
        <v>62</v>
      </c>
      <c r="C29" s="242" t="s">
        <v>155</v>
      </c>
      <c r="D29" s="242"/>
      <c r="E29" s="242"/>
      <c r="F29" s="242"/>
      <c r="G29" s="242"/>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xr:uid="{00000000-0002-0000-12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8" t="s">
        <v>123</v>
      </c>
      <c r="C2" s="289"/>
      <c r="D2" s="289"/>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90" t="s">
        <v>142</v>
      </c>
      <c r="C10" s="289"/>
      <c r="D10" s="289"/>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4" t="s">
        <v>145</v>
      </c>
      <c r="D21" s="285"/>
      <c r="E21" s="285"/>
      <c r="F21" s="285"/>
      <c r="G21" s="285"/>
      <c r="H21" s="28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1" t="s">
        <v>139</v>
      </c>
      <c r="B1" s="292"/>
      <c r="C1" s="292"/>
      <c r="D1" s="292"/>
      <c r="E1" s="292"/>
      <c r="F1" s="292"/>
      <c r="G1" s="292"/>
      <c r="H1" s="292"/>
      <c r="I1" s="292"/>
      <c r="J1" s="292"/>
      <c r="K1" s="292"/>
      <c r="L1" s="292"/>
      <c r="M1" s="292"/>
      <c r="N1" s="292"/>
      <c r="O1" s="292"/>
    </row>
    <row r="2" spans="1:15" s="66" customFormat="1" ht="18" customHeight="1" x14ac:dyDescent="0.2">
      <c r="A2" s="295" t="s">
        <v>138</v>
      </c>
      <c r="B2" s="296"/>
      <c r="C2" s="296"/>
      <c r="D2" s="296"/>
      <c r="E2" s="296"/>
      <c r="F2" s="296"/>
      <c r="G2" s="296"/>
      <c r="H2" s="296"/>
      <c r="I2" s="296"/>
      <c r="J2" s="296"/>
      <c r="K2" s="296"/>
      <c r="L2" s="296"/>
      <c r="M2" s="296"/>
      <c r="N2" s="296"/>
      <c r="O2" s="296"/>
    </row>
    <row r="36" spans="1:15" ht="10.5" customHeight="1" x14ac:dyDescent="0.2"/>
    <row r="38" spans="1:15" s="65" customFormat="1" ht="18" customHeight="1" x14ac:dyDescent="0.2">
      <c r="A38" s="295" t="s">
        <v>140</v>
      </c>
      <c r="B38" s="296"/>
      <c r="C38" s="296"/>
      <c r="D38" s="296"/>
      <c r="E38" s="296"/>
      <c r="F38" s="296"/>
      <c r="G38" s="296"/>
      <c r="H38" s="296"/>
      <c r="I38" s="296"/>
      <c r="J38" s="296"/>
      <c r="K38" s="296"/>
      <c r="L38" s="296"/>
      <c r="M38" s="296"/>
      <c r="N38" s="296"/>
      <c r="O38" s="296"/>
    </row>
    <row r="72" spans="1:15" s="52" customFormat="1" ht="27" customHeight="1" x14ac:dyDescent="0.2">
      <c r="A72" s="293" t="s">
        <v>90</v>
      </c>
      <c r="B72" s="292"/>
      <c r="C72" s="292"/>
      <c r="D72" s="292"/>
      <c r="E72" s="292"/>
      <c r="F72" s="292"/>
      <c r="G72" s="292"/>
      <c r="H72" s="292"/>
      <c r="I72" s="292"/>
      <c r="J72" s="292"/>
      <c r="K72" s="292"/>
      <c r="L72" s="292"/>
      <c r="M72" s="292"/>
      <c r="N72" s="292"/>
      <c r="O72" s="292"/>
    </row>
    <row r="73" spans="1:15" ht="58.5" customHeight="1" x14ac:dyDescent="0.2">
      <c r="A73" s="294" t="s">
        <v>91</v>
      </c>
      <c r="B73" s="292"/>
      <c r="C73" s="292"/>
      <c r="D73" s="292"/>
      <c r="E73" s="292"/>
      <c r="F73" s="292"/>
      <c r="G73" s="292"/>
      <c r="H73" s="292"/>
      <c r="I73" s="292"/>
      <c r="J73" s="292"/>
      <c r="K73" s="292"/>
      <c r="L73" s="292"/>
      <c r="M73" s="292"/>
      <c r="N73" s="292"/>
      <c r="O73" s="292"/>
    </row>
    <row r="89" spans="1:15" x14ac:dyDescent="0.2">
      <c r="A89" s="10"/>
      <c r="B89" s="10"/>
      <c r="C89" s="10"/>
      <c r="D89" s="10"/>
      <c r="E89" s="10"/>
      <c r="F89" s="10"/>
      <c r="G89" s="10"/>
      <c r="H89" s="10"/>
      <c r="I89" s="10"/>
      <c r="J89" s="10"/>
      <c r="K89" s="10"/>
      <c r="L89" s="10"/>
      <c r="M89" s="10"/>
      <c r="N89" s="10"/>
    </row>
    <row r="94" spans="1:15" ht="48.75" customHeight="1" x14ac:dyDescent="0.2">
      <c r="A94" s="294" t="s">
        <v>92</v>
      </c>
      <c r="B94" s="292"/>
      <c r="C94" s="292"/>
      <c r="D94" s="292"/>
      <c r="E94" s="292"/>
      <c r="F94" s="292"/>
      <c r="G94" s="292"/>
      <c r="H94" s="292"/>
      <c r="I94" s="292"/>
      <c r="J94" s="292"/>
      <c r="K94" s="292"/>
      <c r="L94" s="292"/>
      <c r="M94" s="292"/>
      <c r="N94" s="292"/>
      <c r="O94" s="292"/>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8" t="s">
        <v>123</v>
      </c>
      <c r="C2" s="289"/>
      <c r="D2" s="289"/>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8" t="s">
        <v>127</v>
      </c>
      <c r="C10" s="289"/>
      <c r="D10" s="289"/>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4" t="s">
        <v>144</v>
      </c>
      <c r="D21" s="285"/>
      <c r="E21" s="285"/>
      <c r="F21" s="285"/>
      <c r="G21" s="285"/>
      <c r="H21" s="28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2018-12-10T02:32:04Z</dcterms:modified>
</cp:coreProperties>
</file>