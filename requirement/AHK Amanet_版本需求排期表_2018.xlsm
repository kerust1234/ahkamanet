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6.xml" ContentType="application/vnd.openxmlformats-officedocument.spreadsheetml.comments+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17.xml" ContentType="application/vnd.openxmlformats-officedocument.spreadsheetml.comments+xml"/>
  <Override PartName="/xl/drawings/drawing13.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omments18.xml" ContentType="application/vnd.openxmlformats-officedocument.spreadsheetml.comments+xml"/>
  <Override PartName="/xl/drawings/drawing1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19.xml" ContentType="application/vnd.openxmlformats-officedocument.spreadsheetml.comments+xml"/>
  <Override PartName="/xl/drawings/drawing15.xml" ContentType="application/vnd.openxmlformats-officedocument.drawing+xml"/>
  <Override PartName="/xl/activeX/activeX23.xml" ContentType="application/vnd.ms-office.activeX+xml"/>
  <Override PartName="/xl/activeX/activeX23.bin" ContentType="application/vnd.ms-office.activeX"/>
  <Override PartName="/xl/drawings/drawing16.xml" ContentType="application/vnd.openxmlformats-officedocument.drawing+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xr:revisionPtr revIDLastSave="0" documentId="13_ncr:1_{C636842C-CCA7-4254-ADAC-E23FF9BCBA49}" xr6:coauthVersionLast="38" xr6:coauthVersionMax="38" xr10:uidLastSave="{00000000-0000-0000-0000-000000000000}"/>
  <bookViews>
    <workbookView xWindow="0" yWindow="810" windowWidth="9615" windowHeight="8700" tabRatio="781" firstSheet="1" activeTab="4" xr2:uid="{00000000-000D-0000-FFFF-FFFF00000000}"/>
  </bookViews>
  <sheets>
    <sheet name="版本冻结公告-复制模板 (backup)" sheetId="42" state="hidden" r:id="rId1"/>
    <sheet name="版本冻结公告-复制模板" sheetId="39" r:id="rId2"/>
    <sheet name="版本控制" sheetId="4" r:id="rId3"/>
    <sheet name="例行版本计划" sheetId="14" r:id="rId4"/>
    <sheet name="ISR清单" sheetId="21" r:id="rId5"/>
    <sheet name="缺陷及问题清单" sheetId="22" r:id="rId6"/>
    <sheet name="本月退回ISR清单" sheetId="23" state="hidden" r:id="rId7"/>
    <sheet name="待处理ISR清单" sheetId="24" state="hidden" r:id="rId8"/>
    <sheet name="XX版本冻结公告" sheetId="20" state="hidden" r:id="rId9"/>
    <sheet name="历史信息" sheetId="19" state="hidden" r:id="rId10"/>
    <sheet name="版本冻结公告-v6.17.0" sheetId="44" r:id="rId11"/>
    <sheet name="版本冻结公告-v6.15.0" sheetId="43" r:id="rId12"/>
    <sheet name="v6.15.0版本冻结公告" sheetId="38" r:id="rId13"/>
    <sheet name="v6.13.0版本冻结公告" sheetId="37" r:id="rId14"/>
    <sheet name="v6.12.1版本冻结公告" sheetId="36" r:id="rId15"/>
    <sheet name="v1.23.0版本冻结公告" sheetId="35" r:id="rId16"/>
    <sheet name="v1.22.0版本冻结公告" sheetId="34" r:id="rId17"/>
    <sheet name="v1.19.0版本冻结公告" sheetId="32" r:id="rId18"/>
    <sheet name="v1.18.0版本冻结公告" sheetId="31" r:id="rId19"/>
    <sheet name="v1.17.0版本冻结公告" sheetId="16" r:id="rId20"/>
    <sheet name="XXX版本冻结公告（变更）" sheetId="28" state="hidden" r:id="rId21"/>
    <sheet name="邮件规范及操作指引" sheetId="27" state="hidden" r:id="rId22"/>
    <sheet name="textcontent" sheetId="40" r:id="rId23"/>
    <sheet name="XX版本冻结公告(变更)" sheetId="29" state="hidden" r:id="rId24"/>
  </sheets>
  <functionGroups builtInGroupCount="19"/>
  <definedNames>
    <definedName name="版本名称">例行版本计划!$A$11:$A$70</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9" i="44" l="1"/>
  <c r="C8" i="44"/>
  <c r="C7" i="44"/>
  <c r="C6" i="44"/>
  <c r="C8" i="43" l="1"/>
  <c r="C7" i="43"/>
  <c r="C6" i="43"/>
  <c r="C8" i="42"/>
  <c r="C7" i="42"/>
  <c r="C6" i="42"/>
  <c r="C8" i="39"/>
  <c r="C7" i="39"/>
  <c r="C6" i="39"/>
  <c r="C8" i="38"/>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43" s="1"/>
  <c r="C9" i="42" l="1"/>
  <c r="C9" i="20"/>
  <c r="C9" i="3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0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0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0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0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0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1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1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1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1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1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Amway</author>
    <author>Kerust</author>
  </authors>
  <commentList>
    <comment ref="A10" authorId="0" shapeId="0" xr:uid="{00000000-0006-0000-0300-00000100000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xr:uid="{00000000-0006-0000-0300-00000200000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注</author>
    <author>刘健忠</author>
  </authors>
  <commentList>
    <comment ref="C3" authorId="0" shapeId="0" xr:uid="{00000000-0006-0000-0400-00000100000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xr:uid="{00000000-0006-0000-0400-00000200000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xr:uid="{00000000-0006-0000-0400-00000300000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xr:uid="{00000000-0006-0000-0400-000004000000}">
      <text>
        <r>
          <rPr>
            <b/>
            <sz val="9"/>
            <color indexed="81"/>
            <rFont val="宋体"/>
            <family val="3"/>
            <charset val="134"/>
          </rPr>
          <t>(K列“功能点数”和L列“总功能点数”选择其中一列填写)</t>
        </r>
      </text>
    </comment>
    <comment ref="M3" authorId="1" shapeId="0" xr:uid="{00000000-0006-0000-0400-000005000000}">
      <text>
        <r>
          <rPr>
            <b/>
            <sz val="9"/>
            <color indexed="81"/>
            <rFont val="宋体"/>
            <family val="3"/>
            <charset val="134"/>
          </rPr>
          <t>(K列“功能点数”和L列“总功能点数”选择其中一列填写)</t>
        </r>
      </text>
    </comment>
    <comment ref="R3" authorId="1" shapeId="0" xr:uid="{00000000-0006-0000-0400-000006000000}">
      <text>
        <r>
          <rPr>
            <b/>
            <sz val="9"/>
            <color indexed="81"/>
            <rFont val="宋体"/>
            <family val="3"/>
            <charset val="134"/>
          </rPr>
          <t>(K列“功能点数”和L列“总功能点数”选择其中一列填写)</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刘健忠</author>
  </authors>
  <commentList>
    <comment ref="K4" authorId="0" shapeId="0" xr:uid="{00000000-0006-0000-0500-000001000000}">
      <text>
        <r>
          <rPr>
            <b/>
            <sz val="9"/>
            <color indexed="81"/>
            <rFont val="宋体"/>
            <family val="3"/>
            <charset val="134"/>
          </rPr>
          <t>(K列“功能点数”和L列“总功能点数”选择其中一列填写)</t>
        </r>
      </text>
    </comment>
    <comment ref="L4" authorId="0" shapeId="0" xr:uid="{00000000-0006-0000-0500-000002000000}">
      <text>
        <r>
          <rPr>
            <b/>
            <sz val="9"/>
            <color indexed="81"/>
            <rFont val="宋体"/>
            <family val="3"/>
            <charset val="134"/>
          </rPr>
          <t>(K列“功能点数”和L列“总功能点数”选择其中一列填写)</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B5" authorId="0" shapeId="0" xr:uid="{00000000-0006-0000-0600-00000100000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B5" authorId="0" shapeId="0" xr:uid="{00000000-0006-0000-07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xr:uid="{00000000-0006-0000-07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xr:uid="{00000000-0006-0000-07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xr:uid="{00000000-0006-0000-0700-00000400000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8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8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8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8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8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I1" authorId="0" shapeId="0" xr:uid="{00000000-0006-0000-0900-00000100000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xr:uid="{00000000-0006-0000-0900-00000200000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xr:uid="{00000000-0006-0000-0900-00000300000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180E3202-7E0D-49DC-8A65-95BAB5353686}">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C951F434-6ECD-442C-9502-6B0DA5C8BB3C}">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849BB3A2-0F31-4A69-8949-3EFA6FDE653F}">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44383D09-707A-4675-B60A-D9F7486557B7}">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EAB9AAD8-2E94-44F9-A072-A73A671FE0DC}">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A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A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A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A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A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B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B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B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B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B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C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C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C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C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C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D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D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D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D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D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E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E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E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E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E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F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F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F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F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F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10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10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10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10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10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11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11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11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11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11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12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12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12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12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12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<sst xmlns="http://schemas.openxmlformats.org/spreadsheetml/2006/main" count="950" uniqueCount="383">
  <si>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</si>
  <si>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</si>
  <si>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</si>
  <si>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</si>
  <si>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</si>
  <si>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</si>
  <si>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</si>
  <si>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</si>
  <si>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</si>
  <si>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</si>
  <si>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</si>
  <si>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</si>
  <si>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</si>
  <si>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</si>
  <si>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</si>
  <si>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</si>
  <si>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</si>
  <si>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</si>
  <si>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</si>
  <si>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</si>
  <si>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</si>
  <si>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</si>
  <si>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</si>
  <si>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</si>
  <si>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</si>
  <si>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</si>
  <si>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</si>
  <si>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</si>
  <si>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</si>
  <si>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</si>
  <si>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</si>
  <si>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</si>
  <si>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</si>
  <si>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</si>
  <si>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</si>
  <si>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</si>
  <si>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</si>
  <si>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</si>
  <si>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</si>
  <si>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</si>
  <si>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</si>
  <si>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</si>
  <si>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</si>
  <si>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</si>
  <si>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</si>
  <si>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</si>
  <si>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</si>
  <si>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</si>
  <si>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</si>
  <si>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</si>
  <si>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</si>
  <si>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</si>
  <si>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</si>
  <si>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</si>
  <si>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</si>
  <si>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</si>
  <si>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</si>
  <si>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</si>
  <si>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</si>
  <si>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</si>
  <si>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</si>
  <si>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</si>
  <si>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</si>
  <si>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</si>
  <si>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</si>
  <si>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</si>
  <si>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</si>
  <si>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</si>
  <si>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</si>
  <si>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</si>
  <si>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</si>
  <si>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</si>
  <si>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</si>
  <si>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</si>
  <si>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</si>
  <si>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</si>
  <si>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</si>
  <si>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</si>
  <si>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</si>
  <si>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</si>
  <si>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</si>
  <si>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</si>
  <si>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</si>
  <si>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</si>
  <si>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</si>
  <si>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</si>
  <si>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</si>
  <si>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</si>
  <si>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</si>
  <si>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</si>
  <si>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</si>
  <si>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</si>
  <si>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</si>
  <si>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</si>
  <si>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</si>
  <si>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</si>
  <si>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</si>
  <si>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</si>
  <si>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</si>
  <si>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</si>
  <si>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</si>
  <si>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</si>
  <si>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</si>
  <si>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</si>
  <si>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</si>
  <si>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</si>
  <si>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</si>
  <si>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</si>
  <si>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</si>
  <si>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</si>
  <si>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</si>
  <si>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</si>
  <si>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</si>
  <si>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</si>
  <si>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</si>
  <si>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</si>
  <si>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</si>
  <si>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</si>
  <si>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</si>
  <si>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</si>
  <si>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</si>
  <si>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</si>
  <si>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</si>
  <si>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</si>
  <si>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</si>
  <si>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</si>
  <si>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</si>
  <si>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</si>
  <si>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</si>
  <si>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</si>
  <si>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</si>
  <si>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</si>
  <si>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</si>
  <si>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</si>
  <si>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</si>
  <si>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</si>
  <si>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</si>
  <si>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</si>
  <si>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</si>
  <si>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</si>
  <si>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</si>
  <si>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</si>
  <si>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</si>
  <si>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</si>
  <si>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</si>
  <si>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</si>
  <si>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</si>
  <si>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</si>
  <si>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</si>
  <si>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</si>
  <si>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</si>
  <si>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</si>
  <si>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</si>
  <si>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</si>
  <si>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</si>
  <si>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</si>
  <si>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</si>
  <si>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</si>
  <si>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</si>
  <si>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</si>
  <si>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</si>
  <si>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</si>
  <si>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</si>
  <si>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</si>
  <si>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</si>
  <si>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</si>
  <si>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</si>
  <si>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</si>
  <si>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</si>
  <si>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</si>
  <si>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t>安利海外购v1.17.0</t>
  </si>
  <si>
    <t>已开发，仅包含联调</t>
    <phoneticPr fontId="1" type="noConversion"/>
  </si>
  <si>
    <t>York Yang</t>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</si>
  <si>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</si>
  <si>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</si>
  <si>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</si>
  <si>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</si>
  <si>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</si>
  <si>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</si>
  <si>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</si>
  <si>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</si>
  <si>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</si>
  <si>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</si>
  <si>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</si>
  <si>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6" type="noConversion"/>
  </si>
  <si>
    <t>V3.75.0</t>
    <phoneticPr fontId="46" type="noConversion"/>
  </si>
  <si>
    <t>Kerust Feng</t>
    <phoneticPr fontId="46" type="noConversion"/>
  </si>
  <si>
    <t>ISR编号</t>
  </si>
  <si>
    <t>受影响的关联系统</t>
  </si>
  <si>
    <t>申请人
所属部门</t>
    <phoneticPr fontId="46" type="noConversion"/>
  </si>
  <si>
    <t>由于海外购部分产品经常出现供不应求的情况，为提升顾客的购货体验，申请在海外购官网增加显示缺货功能。</t>
    <phoneticPr fontId="46"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</si>
  <si>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</si>
  <si>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</si>
  <si>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</si>
  <si>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</si>
  <si>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</si>
  <si>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</si>
  <si>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</si>
  <si>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</si>
  <si>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</si>
  <si>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</si>
  <si>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</si>
  <si>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</si>
  <si>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</si>
  <si>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</si>
  <si>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</si>
  <si>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</si>
  <si>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</si>
  <si>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</si>
  <si>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</si>
  <si>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</si>
  <si>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</si>
  <si>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</si>
  <si>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</si>
  <si>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</si>
  <si>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</si>
  <si>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</si>
  <si>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</si>
  <si>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</si>
  <si>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</si>
  <si>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</si>
  <si>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</si>
  <si>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</si>
  <si>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</si>
  <si>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</si>
  <si>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</si>
  <si>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</si>
  <si>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</si>
  <si>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</si>
  <si>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</si>
  <si>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</si>
  <si>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</si>
  <si>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</si>
  <si>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</si>
  <si>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</si>
  <si>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</si>
  <si>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</si>
  <si>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</si>
  <si>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</si>
  <si>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</si>
  <si>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</si>
  <si>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</si>
  <si>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</si>
  <si>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</si>
  <si>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</si>
  <si>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</si>
  <si>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</si>
  <si>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</si>
  <si>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</si>
  <si>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</si>
  <si>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</si>
  <si>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</si>
  <si>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</si>
  <si>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</si>
  <si>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</si>
  <si>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</si>
  <si>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</si>
  <si>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</si>
  <si>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</si>
  <si>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</si>
  <si>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</si>
  <si>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58" type="noConversion"/>
  </si>
  <si>
    <t>Andy Lin</t>
    <phoneticPr fontId="58" type="noConversion"/>
  </si>
  <si>
    <t>新銀章摘星培訓資格及版面更新</t>
    <phoneticPr fontId="1" type="noConversion"/>
  </si>
  <si>
    <t>REQ0149577</t>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</si>
  <si>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</si>
  <si>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</si>
  <si>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</si>
  <si>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</si>
  <si>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</si>
  <si>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</si>
  <si>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</si>
  <si>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t>AHK AmanetV6.16.0</t>
    <phoneticPr fontId="1" type="noConversion"/>
  </si>
  <si>
    <t>AHK AmanetV6.17.0</t>
    <phoneticPr fontId="1" type="noConversion"/>
  </si>
  <si>
    <t>Frankie Guan</t>
    <phoneticPr fontId="1" type="noConversion"/>
  </si>
  <si>
    <t>Sannie Li</t>
  </si>
  <si>
    <t>v6.15.0</t>
    <phoneticPr fontId="1" type="noConversion"/>
  </si>
  <si>
    <t>Sannie Li</t>
    <phoneticPr fontId="1" type="noConversion"/>
  </si>
  <si>
    <t>SALES</t>
    <phoneticPr fontId="1" type="noConversion"/>
  </si>
  <si>
    <r>
      <t>各位同事，本版本将于10月25日上线，并于10月25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</si>
  <si>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版本名称</t>
  </si>
  <si>
    <t>待分析的ISR数量</t>
  </si>
  <si>
    <t>待排期的ISR数量</t>
  </si>
  <si>
    <t>已挂起的ISR数量</t>
  </si>
  <si>
    <r>
      <t>本月退回的</t>
    </r>
    <r>
      <rPr>
        <b/>
        <sz val="10"/>
        <rFont val="Arial"/>
        <family val="2"/>
      </rPr>
      <t>ISR</t>
    </r>
    <r>
      <rPr>
        <b/>
        <sz val="10"/>
        <rFont val="宋体"/>
        <family val="3"/>
        <charset val="134"/>
      </rPr>
      <t>数量</t>
    </r>
  </si>
  <si>
    <t>版本总体计划：</t>
  </si>
  <si>
    <t>活动名称</t>
  </si>
  <si>
    <t>计划开始日期</t>
  </si>
  <si>
    <t>计划完成日期</t>
  </si>
  <si>
    <t>版本冻结公告制定并正式发布</t>
  </si>
  <si>
    <t>系统测试</t>
  </si>
  <si>
    <t>用户验收测试</t>
  </si>
  <si>
    <t>应用系统上线</t>
  </si>
  <si>
    <t>版本包含的ISR：</t>
  </si>
  <si>
    <t>申请人
所属部门</t>
  </si>
  <si>
    <t>版本包含的问题单：</t>
  </si>
  <si>
    <t>缺陷及问题单编号</t>
  </si>
  <si>
    <t>提交时间</t>
  </si>
  <si>
    <t>缺陷及问题描述</t>
  </si>
  <si>
    <t>提出人
所属部门</t>
  </si>
  <si>
    <t>pending</t>
  </si>
  <si>
    <t>关联系统版本：</t>
  </si>
  <si>
    <t>系统名称</t>
  </si>
  <si>
    <t>上线日期</t>
  </si>
  <si>
    <t>负责人</t>
  </si>
  <si>
    <t>备注</t>
  </si>
  <si>
    <t>安利易联网</t>
  </si>
  <si>
    <t>V3.75.0</t>
  </si>
  <si>
    <t>Kerust Feng</t>
  </si>
  <si>
    <t>冻结公告发送对象：</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</si>
  <si>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</si>
  <si>
    <r>
      <t>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</si>
  <si>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AHK Amanet系统 10月份版本冻结公告</t>
    <phoneticPr fontId="1" type="noConversion"/>
  </si>
  <si>
    <t>REQ0149577</t>
  </si>
  <si>
    <t>新銀章摘星培訓資格及版面更新</t>
  </si>
  <si>
    <t>Vicky Chiu</t>
  </si>
  <si>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</si>
  <si>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待排期</t>
  </si>
  <si>
    <t>AHK Amanet系统版本冻结公告-11月份</t>
    <phoneticPr fontId="1" type="noConversion"/>
  </si>
  <si>
    <t>Leo Li</t>
    <phoneticPr fontId="1" type="noConversion"/>
  </si>
  <si>
    <t>ISD</t>
    <phoneticPr fontId="1" type="noConversion"/>
  </si>
  <si>
    <t>5GPOS</t>
    <phoneticPr fontId="1" type="noConversion"/>
  </si>
  <si>
    <t>2018/10/24</t>
    <phoneticPr fontId="1" type="noConversion"/>
  </si>
  <si>
    <t>Kerust Feng</t>
    <phoneticPr fontId="1" type="noConversion"/>
  </si>
  <si>
    <t>新增自动生成冻结公告表头信息及删除冻结公告ISR列表及问题单列表空行的函数</t>
    <phoneticPr fontId="1" type="noConversion"/>
  </si>
  <si>
    <t>電子購貨單(本月)隱蔽了資料，在電子購貨單(過往記錄)竟然無隱蔽資料</t>
  </si>
  <si>
    <t>電子購貨單(本月)隱蔽了資料，在電子購貨單(過往記錄)竟然無隱蔽資料</t>
    <phoneticPr fontId="1" type="noConversion"/>
  </si>
  <si>
    <t>Sannie Li</t>
    <phoneticPr fontId="1" type="noConversion"/>
  </si>
  <si>
    <t>SALES</t>
    <phoneticPr fontId="1" type="noConversion"/>
  </si>
  <si>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</si>
  <si>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Amanet系统版本冻结公告-11月份</t>
    <phoneticPr fontId="1" type="noConversion"/>
  </si>
  <si>
    <t>海外购跳转ACCL HYBRIS，用回INT channel，如果是正常ADA登陆，就使用内部SSO，如果不是ADA登陆直接跳到ACCL HYBRIS首页即可；</t>
    <phoneticPr fontId="1" type="noConversion"/>
  </si>
  <si>
    <t>海外购超2万额度退单的订单越来越多，为提升ABO在海外购系统的体验，提升顾客满意度，避免大量的订单冲销和退款的操作，申请新增海外购退货券+杂项券功能。</t>
    <phoneticPr fontId="1" type="noConversion"/>
  </si>
  <si>
    <t>需求背景：为提升ABO在海外购系统的体验，提升顾客满意度，避免大量的订单冲销和退款的操作；涉及的系统：5GPOS，AS400、Atlas、Cross Border Hybris；需求描述：新增海外购退货券+杂项券功能；期望的上线时间：2017-06-30；延迟上线的后果：新流程上线后，大量海外购订单冲销和退款的操作；费用：160000；费用所属部门：本部门；1、新增海外购退货券+杂项券功能(详细需求需IT评估）</t>
    <phoneticPr fontId="1" type="noConversion"/>
  </si>
  <si>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phoneticPr fontId="1" type="noConversion"/>
  </si>
  <si>
    <t xml:space="preserve">1.产品推荐的需求可配置所以产品包括ACCL产品和海外购产品；
2.云服务进入海外购订单的结算页面默认“银联在线支付”； 
</t>
    <phoneticPr fontId="1" type="noConversion"/>
  </si>
  <si>
    <t>Leo Li</t>
    <phoneticPr fontId="1" type="noConversion"/>
  </si>
  <si>
    <t>Frankie Guan</t>
    <phoneticPr fontId="1" type="noConversion"/>
  </si>
  <si>
    <t>Sanny Li</t>
    <phoneticPr fontId="1" type="noConversion"/>
  </si>
  <si>
    <t>SALES</t>
    <phoneticPr fontId="1" type="noConversion"/>
  </si>
  <si>
    <t>Vicky Chiu</t>
    <phoneticPr fontId="1" type="noConversion"/>
  </si>
  <si>
    <t>Sannie Li</t>
    <phoneticPr fontId="1" type="noConversion"/>
  </si>
  <si>
    <t>2018/19年度獎勵</t>
    <phoneticPr fontId="1" type="noConversion"/>
  </si>
  <si>
    <t>新銀章摘星培訓資格及版面更新</t>
    <phoneticPr fontId="1" type="noConversion"/>
  </si>
  <si>
    <t>各位同事，本版本将于2018/11/6上线，并于2018/11/6正式生效。请各ISR和问题单的提交人提早预留时间，在2018/11/2到2018/11/5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</si>
  <si>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Amanet系统版本冻结公告-11月份</t>
    <phoneticPr fontId="1" type="noConversion"/>
  </si>
  <si>
    <t>IVR新增报读接口</t>
    <phoneticPr fontId="1" type="noConversion"/>
  </si>
  <si>
    <t>Sannie Li</t>
    <phoneticPr fontId="1" type="noConversion"/>
  </si>
  <si>
    <t>SALES</t>
    <phoneticPr fontId="1" type="noConversion"/>
  </si>
  <si>
    <t>易聯網組織業務報告表(LOS Map Report)</t>
    <phoneticPr fontId="1" type="noConversion"/>
  </si>
  <si>
    <t>REQ0044239</t>
    <phoneticPr fontId="1" type="noConversion"/>
  </si>
  <si>
    <t>Amanet SOA development &amp;Testing</t>
    <phoneticPr fontId="1" type="noConversion"/>
  </si>
  <si>
    <t>REQ0160201</t>
    <phoneticPr fontId="1" type="noConversion"/>
  </si>
  <si>
    <t xml:space="preserve">开发提供POS接口重置Amanet的密码为初始密码的接口，即重置密码为身份证明文件的首6位数字密码
</t>
    <phoneticPr fontId="1" type="noConversion"/>
  </si>
  <si>
    <t>PC signup和Online renew更新支付方式为wildcard支付</t>
    <phoneticPr fontId="1" type="noConversion"/>
  </si>
  <si>
    <t>2019年公司日本之旅查閱積分頁面</t>
    <phoneticPr fontId="1" type="noConversion"/>
  </si>
  <si>
    <t>软通10MD</t>
    <phoneticPr fontId="1" type="noConversion"/>
  </si>
  <si>
    <t>软通40MD</t>
    <phoneticPr fontId="1" type="noConversion"/>
  </si>
  <si>
    <t>AHK AmanetV6.16.0</t>
  </si>
  <si>
    <t>Elaine Kwong</t>
    <phoneticPr fontId="1" type="noConversion"/>
  </si>
  <si>
    <t>Marketing</t>
    <phoneticPr fontId="1" type="noConversion"/>
  </si>
  <si>
    <t>AHK AmanetV6.18.0</t>
    <phoneticPr fontId="1" type="noConversion"/>
  </si>
  <si>
    <t>AHK AmanetV6.19.0</t>
    <phoneticPr fontId="1" type="noConversion"/>
  </si>
  <si>
    <t>AHK AmanetV6.20.0</t>
    <phoneticPr fontId="1" type="noConversion"/>
  </si>
  <si>
    <t>AHK AmanetV6.21.0</t>
    <phoneticPr fontId="1" type="noConversion"/>
  </si>
  <si>
    <t>AHK AmanetV6.22.0</t>
    <phoneticPr fontId="1" type="noConversion"/>
  </si>
  <si>
    <t>AHK AmanetV6.23.0</t>
    <phoneticPr fontId="1" type="noConversion"/>
  </si>
  <si>
    <t>AHK AmanetV6.24.0</t>
    <phoneticPr fontId="1" type="noConversion"/>
  </si>
  <si>
    <t>软通：8MD*1200=9600
AS400：AS400的开发费用（不做退货计算）：7人天(10500 RMB)，上线时间12月底
AS400的开发费用（需要退货计算）：12人天(18000RMB)，上线时间1月底
测试：4000</t>
    <phoneticPr fontId="1" type="noConversion"/>
  </si>
  <si>
    <t>2019年公司日本之旅查閱積分頁面</t>
  </si>
  <si>
    <t>AHK AmanetV6.17.0</t>
  </si>
  <si>
    <t>Frankie Guan</t>
    <phoneticPr fontId="1" type="noConversion"/>
  </si>
  <si>
    <t>各位同事，本版本将于2018/12/24上线，并于2018/12/24正式生效。请各ISR和问题单的提交人提早预留时间，在2018/12/20到2018/12/21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</si>
  <si>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Amanet系统版本冻结公告-12月份</t>
    <phoneticPr fontId="1" type="noConversion"/>
  </si>
  <si>
    <t>pending</t>
    <phoneticPr fontId="1" type="noConversion"/>
  </si>
  <si>
    <t>Elaine Kwong</t>
  </si>
  <si>
    <t>Marketing</t>
  </si>
  <si>
    <t>AS400</t>
  </si>
  <si>
    <t>AS400</t>
    <phoneticPr fontId="1" type="noConversion"/>
  </si>
  <si>
    <t>Hardy Yang</t>
    <phoneticPr fontId="1" type="noConversion"/>
  </si>
  <si>
    <t>AS400</t>
    <phoneticPr fontId="1" type="noConversion"/>
  </si>
  <si>
    <t xml:space="preserve">V1.96.0 </t>
    <phoneticPr fontId="1" type="noConversion"/>
  </si>
  <si>
    <t>REQ0168315</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</si>
</sst>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0_);[Red]\(0.00\)"/>
    <numFmt numFmtId="177" formatCode="#,##0.00_);[Red]\(#,##0.00\)"/>
  </numFmts>
  <fonts count="74"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color indexed="12"/>
      <name val="Arial"/>
      <family val="2"/>
    </font>
    <font>
      <sz val="9"/>
      <name val="宋体"/>
      <family val="3"/>
      <charset val="134"/>
    </font>
    <font>
      <sz val="10"/>
      <name val="宋体"/>
      <family val="3"/>
      <charset val="134"/>
    </font>
    <font>
      <sz val="9"/>
      <name val="宋体"/>
      <family val="3"/>
      <charset val="134"/>
    </font>
    <font>
      <sz val="9"/>
      <name val="宋体"/>
      <family val="3"/>
      <charset val="134"/>
    </font>
    <font>
      <sz val="10"/>
      <color indexed="12"/>
      <name val="Arial"/>
      <family val="2"/>
    </font>
    <font>
      <sz val="9"/>
      <name val="宋体"/>
      <family val="3"/>
      <charset val="134"/>
    </font>
    <font>
      <sz val="10"/>
      <color indexed="12"/>
      <name val="Arial"/>
      <family val="2"/>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9"/>
      <name val="宋体"/>
      <family val="3"/>
      <charset val="134"/>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9"/>
      <name val="宋体"/>
      <family val="3"/>
      <charset val="134"/>
    </font>
    <font>
      <sz val="9"/>
      <name val="宋体"/>
      <family val="3"/>
      <charset val="134"/>
      <scheme val="minor"/>
    </font>
    <font>
      <sz val="10"/>
      <name val="宋体"/>
      <family val="3"/>
      <charset val="134"/>
      <scheme val="minor"/>
    </font>
    <font>
      <b/>
      <sz val="9"/>
      <color theme="1" tint="0.249977111117893"/>
      <name val="微软雅黑"/>
      <family val="2"/>
      <charset val="134"/>
    </font>
    <font>
      <sz val="9"/>
      <color theme="1" tint="0.249977111117893"/>
      <name val="宋体"/>
      <family val="3"/>
      <charset val="134"/>
      <scheme val="minor"/>
    </font>
    <font>
      <sz val="10"/>
      <color indexed="12"/>
      <name val="宋体"/>
      <family val="3"/>
      <charset val="134"/>
      <scheme val="minor"/>
    </font>
    <font>
      <b/>
      <sz val="10"/>
      <name val="宋体"/>
      <family val="3"/>
      <charset val="134"/>
      <scheme val="minor"/>
    </font>
    <font>
      <sz val="10.5"/>
      <name val="宋体"/>
      <family val="3"/>
      <charset val="134"/>
      <scheme val="minor"/>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304">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59"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48"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48"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47" fillId="0" borderId="10" xfId="0" applyFont="1" applyBorder="1" applyAlignment="1">
      <alignment wrapText="1"/>
    </xf>
    <xf numFmtId="0" fontId="62" fillId="0" borderId="10" xfId="0" applyFont="1" applyFill="1" applyBorder="1" applyAlignment="1">
      <alignment vertical="center" wrapText="1"/>
    </xf>
    <xf numFmtId="0" fontId="50" fillId="0" borderId="10" xfId="0" applyFont="1" applyBorder="1"/>
    <xf numFmtId="0" fontId="52" fillId="0" borderId="10" xfId="0" applyFont="1" applyBorder="1"/>
    <xf numFmtId="14" fontId="10" fillId="0" borderId="10" xfId="0" applyNumberFormat="1" applyFont="1" applyBorder="1"/>
    <xf numFmtId="0" fontId="53" fillId="0" borderId="10" xfId="0" applyFont="1" applyBorder="1"/>
    <xf numFmtId="0" fontId="55" fillId="0" borderId="10" xfId="0" applyFont="1" applyBorder="1"/>
    <xf numFmtId="0" fontId="56" fillId="0" borderId="10" xfId="0" applyFont="1" applyFill="1" applyBorder="1"/>
    <xf numFmtId="0" fontId="56"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48" fillId="0" borderId="13" xfId="0" applyFont="1" applyFill="1" applyBorder="1" applyAlignment="1">
      <alignment horizontal="left" vertical="center" wrapText="1"/>
    </xf>
    <xf numFmtId="14" fontId="48" fillId="0" borderId="0" xfId="0" applyNumberFormat="1" applyFont="1" applyFill="1" applyBorder="1" applyAlignment="1">
      <alignment horizontal="left" vertical="center" wrapText="1"/>
    </xf>
    <xf numFmtId="0" fontId="48" fillId="0" borderId="0" xfId="0" applyFont="1" applyFill="1" applyBorder="1" applyAlignment="1">
      <alignment horizontal="left" vertical="center" wrapText="1"/>
    </xf>
    <xf numFmtId="0" fontId="48" fillId="0" borderId="14" xfId="0" applyFont="1" applyFill="1" applyBorder="1" applyAlignment="1">
      <alignment horizontal="left" vertical="center" wrapText="1"/>
    </xf>
    <xf numFmtId="58" fontId="0" fillId="0" borderId="10" xfId="0" applyNumberFormat="1" applyBorder="1" applyAlignment="1">
      <alignment wrapText="1"/>
    </xf>
    <xf numFmtId="0" fontId="67" fillId="0" borderId="10" xfId="0" applyNumberFormat="1" applyFont="1" applyFill="1" applyBorder="1" applyAlignment="1">
      <alignment wrapText="1"/>
    </xf>
    <xf numFmtId="14" fontId="67" fillId="0" borderId="10" xfId="0" applyNumberFormat="1" applyFont="1" applyFill="1" applyBorder="1" applyAlignment="1">
      <alignment wrapText="1"/>
    </xf>
    <xf numFmtId="0" fontId="67" fillId="0" borderId="10" xfId="0" applyFont="1" applyFill="1" applyBorder="1" applyAlignment="1">
      <alignment wrapText="1"/>
    </xf>
    <xf numFmtId="0" fontId="0" fillId="0" borderId="10" xfId="0"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0" fontId="0" fillId="0" borderId="0" xfId="0"/>
    <xf numFmtId="0" fontId="42" fillId="0" borderId="10" xfId="0" applyNumberFormat="1" applyFont="1" applyFill="1" applyBorder="1" applyAlignment="1">
      <alignment wrapText="1"/>
    </xf>
    <xf numFmtId="0" fontId="42" fillId="0" borderId="12" xfId="0" applyFont="1" applyFill="1" applyBorder="1" applyAlignment="1">
      <alignment horizontal="left" vertical="center" wrapText="1"/>
    </xf>
    <xf numFmtId="0" fontId="42" fillId="0" borderId="0" xfId="0" applyFont="1" applyFill="1" applyBorder="1" applyAlignment="1">
      <alignment horizontal="left" vertical="center" wrapText="1"/>
    </xf>
    <xf numFmtId="0" fontId="0" fillId="0" borderId="0" xfId="0"/>
    <xf numFmtId="0" fontId="0" fillId="0" borderId="10" xfId="0" applyBorder="1"/>
    <xf numFmtId="0" fontId="0" fillId="0" borderId="10" xfId="0" applyFill="1" applyBorder="1"/>
    <xf numFmtId="0" fontId="2" fillId="0" borderId="10" xfId="0" applyFont="1" applyBorder="1"/>
    <xf numFmtId="0" fontId="0" fillId="0" borderId="0" xfId="0" applyBorder="1"/>
    <xf numFmtId="14" fontId="0" fillId="0" borderId="10" xfId="0" applyNumberFormat="1" applyFill="1" applyBorder="1"/>
    <xf numFmtId="0" fontId="0" fillId="0" borderId="13" xfId="0" applyBorder="1"/>
    <xf numFmtId="0" fontId="0" fillId="0" borderId="10" xfId="0" applyBorder="1" applyAlignment="1">
      <alignment horizontal="center"/>
    </xf>
    <xf numFmtId="0" fontId="0" fillId="0" borderId="0" xfId="0" applyFill="1"/>
    <xf numFmtId="14" fontId="2" fillId="0" borderId="10" xfId="0" applyNumberFormat="1" applyFont="1" applyFill="1" applyBorder="1"/>
    <xf numFmtId="0" fontId="0" fillId="0" borderId="10" xfId="0" applyBorder="1" applyAlignment="1">
      <alignment wrapText="1"/>
    </xf>
    <xf numFmtId="0" fontId="2" fillId="0" borderId="10" xfId="0" applyFont="1"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62" fillId="0" borderId="10" xfId="0" applyFont="1" applyFill="1" applyBorder="1" applyAlignment="1">
      <alignment vertical="center" wrapText="1"/>
    </xf>
    <xf numFmtId="0" fontId="68" fillId="0" borderId="10" xfId="0" applyFont="1" applyBorder="1" applyAlignment="1">
      <alignment wrapText="1"/>
    </xf>
    <xf numFmtId="14" fontId="68" fillId="0" borderId="10" xfId="0" applyNumberFormat="1" applyFont="1" applyBorder="1" applyAlignment="1">
      <alignment wrapText="1"/>
    </xf>
    <xf numFmtId="0" fontId="68" fillId="0" borderId="10" xfId="0" applyFont="1" applyBorder="1" applyAlignment="1">
      <alignment horizontal="center" wrapText="1"/>
    </xf>
    <xf numFmtId="0" fontId="69" fillId="0" borderId="10" xfId="0" applyFont="1" applyFill="1" applyBorder="1" applyAlignment="1">
      <alignment vertical="center" wrapText="1"/>
    </xf>
    <xf numFmtId="0" fontId="2" fillId="0" borderId="10" xfId="7" applyFont="1" applyBorder="1" applyAlignment="1">
      <alignment wrapText="1"/>
    </xf>
    <xf numFmtId="0" fontId="68" fillId="0" borderId="10" xfId="0" applyFont="1" applyBorder="1" applyAlignment="1">
      <alignment wrapText="1"/>
    </xf>
    <xf numFmtId="0" fontId="0" fillId="0" borderId="10" xfId="0" applyBorder="1" applyAlignment="1">
      <alignment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68" fillId="0" borderId="10" xfId="0" applyNumberFormat="1" applyFont="1" applyBorder="1" applyAlignment="1">
      <alignment wrapText="1"/>
    </xf>
    <xf numFmtId="0" fontId="68" fillId="0" borderId="10" xfId="0" applyFont="1" applyBorder="1" applyAlignment="1">
      <alignment wrapText="1"/>
    </xf>
    <xf numFmtId="0" fontId="68" fillId="0" borderId="0" xfId="0" applyFont="1"/>
    <xf numFmtId="177" fontId="68" fillId="0" borderId="0" xfId="0" applyNumberFormat="1" applyFont="1"/>
    <xf numFmtId="0" fontId="72" fillId="11" borderId="10" xfId="0" applyFont="1" applyFill="1" applyBorder="1" applyAlignment="1">
      <alignment horizontal="center" wrapText="1"/>
    </xf>
    <xf numFmtId="0" fontId="72" fillId="10" borderId="10" xfId="0" applyFont="1" applyFill="1" applyBorder="1" applyAlignment="1">
      <alignment horizontal="center" wrapText="1"/>
    </xf>
    <xf numFmtId="177" fontId="72" fillId="10" borderId="10" xfId="0" applyNumberFormat="1" applyFont="1" applyFill="1" applyBorder="1" applyAlignment="1">
      <alignment horizontal="center" wrapText="1"/>
    </xf>
    <xf numFmtId="0" fontId="68" fillId="0" borderId="0" xfId="0" applyFont="1" applyAlignment="1">
      <alignment wrapText="1"/>
    </xf>
    <xf numFmtId="0" fontId="68" fillId="0" borderId="10" xfId="0" applyFont="1" applyFill="1" applyBorder="1"/>
    <xf numFmtId="14" fontId="68" fillId="0" borderId="10" xfId="0" applyNumberFormat="1" applyFont="1" applyFill="1" applyBorder="1"/>
    <xf numFmtId="0" fontId="68" fillId="0" borderId="10" xfId="0" applyFont="1" applyBorder="1"/>
    <xf numFmtId="0" fontId="68" fillId="0" borderId="10" xfId="0" applyFont="1" applyBorder="1" applyAlignment="1">
      <alignment horizontal="center"/>
    </xf>
    <xf numFmtId="177" fontId="68" fillId="0" borderId="10" xfId="0" applyNumberFormat="1" applyFont="1" applyBorder="1"/>
    <xf numFmtId="0" fontId="68" fillId="0" borderId="10" xfId="0" applyFont="1" applyFill="1" applyBorder="1" applyAlignment="1">
      <alignment wrapText="1"/>
    </xf>
    <xf numFmtId="0" fontId="73" fillId="0" borderId="0" xfId="0" applyFont="1"/>
    <xf numFmtId="0" fontId="68" fillId="0" borderId="0" xfId="0" applyFont="1" applyAlignment="1">
      <alignment horizontal="left" vertical="center"/>
    </xf>
    <xf numFmtId="14" fontId="68" fillId="0" borderId="10" xfId="0" applyNumberFormat="1" applyFont="1" applyBorder="1"/>
    <xf numFmtId="0" fontId="68" fillId="0" borderId="10" xfId="0" applyFont="1" applyFill="1" applyBorder="1" applyAlignment="1"/>
    <xf numFmtId="0" fontId="68" fillId="0" borderId="10" xfId="0" applyFont="1" applyBorder="1" applyAlignment="1">
      <alignment wrapText="1"/>
    </xf>
    <xf numFmtId="0" fontId="0" fillId="0" borderId="10" xfId="0" applyBorder="1" applyAlignment="1">
      <alignment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68" fillId="0" borderId="10" xfId="0" applyNumberFormat="1" applyFont="1" applyBorder="1" applyAlignment="1">
      <alignment wrapText="1"/>
    </xf>
    <xf numFmtId="0" fontId="68" fillId="0" borderId="10" xfId="0" applyFont="1" applyBorder="1" applyAlignment="1">
      <alignment wrapText="1"/>
    </xf>
    <xf numFmtId="14" fontId="0" fillId="0" borderId="12" xfId="0" applyNumberFormat="1" applyBorder="1" applyAlignment="1">
      <alignment wrapText="1"/>
    </xf>
    <xf numFmtId="0" fontId="0" fillId="0" borderId="18" xfId="0"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0" fillId="0" borderId="12" xfId="0" applyBorder="1" applyAlignment="1">
      <alignment wrapText="1"/>
    </xf>
    <xf numFmtId="0" fontId="63" fillId="0" borderId="10" xfId="0" applyFont="1" applyFill="1" applyBorder="1" applyAlignment="1">
      <alignment horizontal="left" vertical="center" wrapText="1"/>
    </xf>
    <xf numFmtId="0" fontId="64"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60"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68" fillId="0" borderId="12" xfId="0" applyNumberFormat="1" applyFont="1" applyBorder="1" applyAlignment="1">
      <alignment wrapText="1"/>
    </xf>
    <xf numFmtId="0" fontId="68" fillId="0" borderId="18" xfId="0" applyFont="1" applyBorder="1" applyAlignment="1">
      <alignment wrapText="1"/>
    </xf>
    <xf numFmtId="14" fontId="68" fillId="0" borderId="10" xfId="0" applyNumberFormat="1" applyFont="1" applyBorder="1" applyAlignment="1">
      <alignment wrapText="1"/>
    </xf>
    <xf numFmtId="0" fontId="68" fillId="0" borderId="10" xfId="0" applyFont="1" applyBorder="1" applyAlignment="1">
      <alignment wrapText="1"/>
    </xf>
    <xf numFmtId="0" fontId="70" fillId="0" borderId="10" xfId="0" applyFont="1" applyFill="1" applyBorder="1" applyAlignment="1">
      <alignment horizontal="left" vertical="center" wrapText="1"/>
    </xf>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71" fillId="0" borderId="10" xfId="0" applyFont="1" applyFill="1" applyBorder="1" applyAlignment="1">
      <alignment horizontal="left" wrapText="1"/>
    </xf>
    <xf numFmtId="0" fontId="71" fillId="0" borderId="10" xfId="0" applyFont="1" applyBorder="1" applyAlignment="1">
      <alignment horizontal="left"/>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65" fillId="0" borderId="0" xfId="0" applyFont="1" applyAlignment="1"/>
    <xf numFmtId="0" fontId="59" fillId="0" borderId="0" xfId="0" applyFont="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xr:uid="{00000000-0005-0000-0000-000007000000}"/>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6.xml.rels><?xml version="1.0" encoding="UTF-8" standalone="yes"?>
<Relationships xmlns="http://schemas.openxmlformats.org/package/2006/relationships"><Relationship Id="rId3" Type="http://schemas.openxmlformats.org/officeDocument/2006/relationships/image" Target="../media/image27.png"/><Relationship Id="rId2" Type="http://schemas.openxmlformats.org/officeDocument/2006/relationships/image" Target="../media/image26.png"/><Relationship Id="rId1" Type="http://schemas.openxmlformats.org/officeDocument/2006/relationships/image" Target="../media/image25.png"/><Relationship Id="rId4" Type="http://schemas.openxmlformats.org/officeDocument/2006/relationships/image" Target="../media/image2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6.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0.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2.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24.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9873" name="CommandButton1" hidden="1">
              <a:extLst>
                <a:ext uri="{63B3BB69-23CF-44E3-9099-C40C66FF867C}">
                  <a14:compatExt spid="_x0000_s79873"/>
                </a:ext>
                <a:ext uri="{FF2B5EF4-FFF2-40B4-BE49-F238E27FC236}">
                  <a16:creationId xmlns:a16="http://schemas.microsoft.com/office/drawing/2014/main" id="{00000000-0008-0000-0000-0000013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6801" name="CommandButton1" hidden="1">
              <a:extLst>
                <a:ext uri="{63B3BB69-23CF-44E3-9099-C40C66FF867C}">
                  <a14:compatExt spid="_x0000_s76801"/>
                </a:ext>
                <a:ext uri="{FF2B5EF4-FFF2-40B4-BE49-F238E27FC236}">
                  <a16:creationId xmlns:a16="http://schemas.microsoft.com/office/drawing/2014/main" id="{00000000-0008-0000-0100-000001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a:extLst>
            <a:ext uri="{FF2B5EF4-FFF2-40B4-BE49-F238E27FC236}">
              <a16:creationId xmlns:a16="http://schemas.microsoft.com/office/drawing/2014/main" id="{00000000-0008-0000-0200-0000CD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a:extLst>
            <a:ext uri="{FF2B5EF4-FFF2-40B4-BE49-F238E27FC236}">
              <a16:creationId xmlns:a16="http://schemas.microsoft.com/office/drawing/2014/main" id="{00000000-0008-0000-0200-000002040000}"/>
            </a:ext>
          </a:extLst>
        </xdr:cNvPr>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8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 uri="{FF2B5EF4-FFF2-40B4-BE49-F238E27FC236}">
                  <a16:creationId xmlns:a16="http://schemas.microsoft.com/office/drawing/2014/main" id="{00000000-0008-0000-08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115713" name="CommandButton1" hidden="1">
              <a:extLst>
                <a:ext uri="{63B3BB69-23CF-44E3-9099-C40C66FF867C}">
                  <a14:compatExt spid="_x0000_s115713"/>
                </a:ext>
                <a:ext uri="{FF2B5EF4-FFF2-40B4-BE49-F238E27FC236}">
                  <a16:creationId xmlns:a16="http://schemas.microsoft.com/office/drawing/2014/main" id="{00000000-0008-0000-0A00-000001C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102401" name="CommandButton1" hidden="1">
              <a:extLst>
                <a:ext uri="{63B3BB69-23CF-44E3-9099-C40C66FF867C}">
                  <a14:compatExt spid="_x0000_s102401"/>
                </a:ext>
                <a:ext uri="{FF2B5EF4-FFF2-40B4-BE49-F238E27FC236}">
                  <a16:creationId xmlns:a16="http://schemas.microsoft.com/office/drawing/2014/main" id="{00000000-0008-0000-0B00-000001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 uri="{FF2B5EF4-FFF2-40B4-BE49-F238E27FC236}">
                  <a16:creationId xmlns:a16="http://schemas.microsoft.com/office/drawing/2014/main" id="{00000000-0008-0000-0C00-000001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 uri="{FF2B5EF4-FFF2-40B4-BE49-F238E27FC236}">
                  <a16:creationId xmlns:a16="http://schemas.microsoft.com/office/drawing/2014/main" id="{00000000-0008-0000-0C00-000002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 uri="{FF2B5EF4-FFF2-40B4-BE49-F238E27FC236}">
                  <a16:creationId xmlns:a16="http://schemas.microsoft.com/office/drawing/2014/main" id="{00000000-0008-0000-0D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 uri="{FF2B5EF4-FFF2-40B4-BE49-F238E27FC236}">
                  <a16:creationId xmlns:a16="http://schemas.microsoft.com/office/drawing/2014/main" id="{00000000-0008-0000-0E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 uri="{FF2B5EF4-FFF2-40B4-BE49-F238E27FC236}">
                  <a16:creationId xmlns:a16="http://schemas.microsoft.com/office/drawing/2014/main" id="{00000000-0008-0000-0E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 uri="{FF2B5EF4-FFF2-40B4-BE49-F238E27FC236}">
                  <a16:creationId xmlns:a16="http://schemas.microsoft.com/office/drawing/2014/main" id="{00000000-0008-0000-0F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 uri="{FF2B5EF4-FFF2-40B4-BE49-F238E27FC236}">
                  <a16:creationId xmlns:a16="http://schemas.microsoft.com/office/drawing/2014/main" id="{00000000-0008-0000-0F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 uri="{FF2B5EF4-FFF2-40B4-BE49-F238E27FC236}">
                  <a16:creationId xmlns:a16="http://schemas.microsoft.com/office/drawing/2014/main" id="{00000000-0008-0000-1000-00000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 uri="{FF2B5EF4-FFF2-40B4-BE49-F238E27FC236}">
                  <a16:creationId xmlns:a16="http://schemas.microsoft.com/office/drawing/2014/main" id="{00000000-0008-0000-10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 uri="{FF2B5EF4-FFF2-40B4-BE49-F238E27FC236}">
                  <a16:creationId xmlns:a16="http://schemas.microsoft.com/office/drawing/2014/main" id="{00000000-0008-0000-11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 uri="{FF2B5EF4-FFF2-40B4-BE49-F238E27FC236}">
                  <a16:creationId xmlns:a16="http://schemas.microsoft.com/office/drawing/2014/main" id="{00000000-0008-0000-11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 uri="{FF2B5EF4-FFF2-40B4-BE49-F238E27FC236}">
                  <a16:creationId xmlns:a16="http://schemas.microsoft.com/office/drawing/2014/main" id="{00000000-0008-0000-12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 uri="{FF2B5EF4-FFF2-40B4-BE49-F238E27FC236}">
                  <a16:creationId xmlns:a16="http://schemas.microsoft.com/office/drawing/2014/main" id="{00000000-0008-0000-12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 uri="{FF2B5EF4-FFF2-40B4-BE49-F238E27FC236}">
                  <a16:creationId xmlns:a16="http://schemas.microsoft.com/office/drawing/2014/main" id="{00000000-0008-0000-13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 uri="{FF2B5EF4-FFF2-40B4-BE49-F238E27FC236}">
                  <a16:creationId xmlns:a16="http://schemas.microsoft.com/office/drawing/2014/main" id="{00000000-0008-0000-1300-00001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 uri="{FF2B5EF4-FFF2-40B4-BE49-F238E27FC236}">
                  <a16:creationId xmlns:a16="http://schemas.microsoft.com/office/drawing/2014/main" id="{00000000-0008-0000-1400-000001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a:extLst>
            <a:ext uri="{FF2B5EF4-FFF2-40B4-BE49-F238E27FC236}">
              <a16:creationId xmlns:a16="http://schemas.microsoft.com/office/drawing/2014/main" id="{00000000-0008-0000-1500-00001FA70000}"/>
            </a:ext>
          </a:extLst>
        </xdr:cNvPr>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a:extLst>
            <a:ext uri="{FF2B5EF4-FFF2-40B4-BE49-F238E27FC236}">
              <a16:creationId xmlns:a16="http://schemas.microsoft.com/office/drawing/2014/main" id="{00000000-0008-0000-1500-000020A7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a:extLst>
            <a:ext uri="{FF2B5EF4-FFF2-40B4-BE49-F238E27FC236}">
              <a16:creationId xmlns:a16="http://schemas.microsoft.com/office/drawing/2014/main" id="{00000000-0008-0000-1500-000021A7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a:extLst>
            <a:ext uri="{FF2B5EF4-FFF2-40B4-BE49-F238E27FC236}">
              <a16:creationId xmlns:a16="http://schemas.microsoft.com/office/drawing/2014/main" id="{00000000-0008-0000-1500-000022A70000}"/>
            </a:ext>
          </a:extLst>
        </xdr:cNvPr>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a:extLst>
            <a:ext uri="{FF2B5EF4-FFF2-40B4-BE49-F238E27FC236}">
              <a16:creationId xmlns:a16="http://schemas.microsoft.com/office/drawing/2014/main" id="{00000000-0008-0000-1500-000023A70000}"/>
            </a:ext>
          </a:extLst>
        </xdr:cNvPr>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a:extLst>
            <a:ext uri="{FF2B5EF4-FFF2-40B4-BE49-F238E27FC236}">
              <a16:creationId xmlns:a16="http://schemas.microsoft.com/office/drawing/2014/main" id="{00000000-0008-0000-1500-000024A70000}"/>
            </a:ext>
          </a:extLst>
        </xdr:cNvPr>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a:extLst>
            <a:ext uri="{FF2B5EF4-FFF2-40B4-BE49-F238E27FC236}">
              <a16:creationId xmlns:a16="http://schemas.microsoft.com/office/drawing/2014/main" id="{00000000-0008-0000-1500-000025A7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a:extLst>
            <a:ext uri="{FF2B5EF4-FFF2-40B4-BE49-F238E27FC236}">
              <a16:creationId xmlns:a16="http://schemas.microsoft.com/office/drawing/2014/main" id="{00000000-0008-0000-15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 uri="{FF2B5EF4-FFF2-40B4-BE49-F238E27FC236}">
                  <a16:creationId xmlns:a16="http://schemas.microsoft.com/office/drawing/2014/main" id="{00000000-0008-0000-1700-000001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mments" Target="../comments10.xml"/><Relationship Id="rId5" Type="http://schemas.openxmlformats.org/officeDocument/2006/relationships/image" Target="../media/image6.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mments" Target="../comments11.xml"/><Relationship Id="rId5" Type="http://schemas.openxmlformats.org/officeDocument/2006/relationships/image" Target="../media/image7.emf"/><Relationship Id="rId4" Type="http://schemas.openxmlformats.org/officeDocument/2006/relationships/control" Target="../activeX/activeX6.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9.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1.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0.xml"/><Relationship Id="rId5" Type="http://schemas.openxmlformats.org/officeDocument/2006/relationships/image" Target="../media/image10.emf"/><Relationship Id="rId4" Type="http://schemas.openxmlformats.org/officeDocument/2006/relationships/control" Target="../activeX/activeX9.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3.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2.xml"/><Relationship Id="rId5" Type="http://schemas.openxmlformats.org/officeDocument/2006/relationships/image" Target="../media/image12.emf"/><Relationship Id="rId4" Type="http://schemas.openxmlformats.org/officeDocument/2006/relationships/control" Target="../activeX/activeX11.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5.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4.xml"/><Relationship Id="rId5" Type="http://schemas.openxmlformats.org/officeDocument/2006/relationships/image" Target="../media/image14.emf"/><Relationship Id="rId4" Type="http://schemas.openxmlformats.org/officeDocument/2006/relationships/control" Target="../activeX/activeX13.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6.vml"/><Relationship Id="rId7" Type="http://schemas.openxmlformats.org/officeDocument/2006/relationships/image" Target="../media/image17.emf"/><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ntrol" Target="../activeX/activeX16.xml"/><Relationship Id="rId5" Type="http://schemas.openxmlformats.org/officeDocument/2006/relationships/image" Target="../media/image16.emf"/><Relationship Id="rId4" Type="http://schemas.openxmlformats.org/officeDocument/2006/relationships/control" Target="../activeX/activeX15.x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7.xml"/><Relationship Id="rId3" Type="http://schemas.openxmlformats.org/officeDocument/2006/relationships/vmlDrawing" Target="../drawings/vmlDrawing17.vml"/><Relationship Id="rId7" Type="http://schemas.openxmlformats.org/officeDocument/2006/relationships/image" Target="../media/image19.emf"/><Relationship Id="rId2" Type="http://schemas.openxmlformats.org/officeDocument/2006/relationships/drawing" Target="../drawings/drawing12.xml"/><Relationship Id="rId1" Type="http://schemas.openxmlformats.org/officeDocument/2006/relationships/printerSettings" Target="../printerSettings/printerSettings17.bin"/><Relationship Id="rId6" Type="http://schemas.openxmlformats.org/officeDocument/2006/relationships/control" Target="../activeX/activeX18.xml"/><Relationship Id="rId5" Type="http://schemas.openxmlformats.org/officeDocument/2006/relationships/image" Target="../media/image18.emf"/><Relationship Id="rId4" Type="http://schemas.openxmlformats.org/officeDocument/2006/relationships/control" Target="../activeX/activeX17.xml"/></Relationships>
</file>

<file path=xl/worksheets/_rels/sheet19.xml.rels><?xml version="1.0" encoding="UTF-8" standalone="yes"?>
<Relationships xmlns="http://schemas.openxmlformats.org/package/2006/relationships"><Relationship Id="rId8" Type="http://schemas.openxmlformats.org/officeDocument/2006/relationships/comments" Target="../comments18.xml"/><Relationship Id="rId3" Type="http://schemas.openxmlformats.org/officeDocument/2006/relationships/vmlDrawing" Target="../drawings/vmlDrawing18.vml"/><Relationship Id="rId7" Type="http://schemas.openxmlformats.org/officeDocument/2006/relationships/image" Target="../media/image21.emf"/><Relationship Id="rId2" Type="http://schemas.openxmlformats.org/officeDocument/2006/relationships/drawing" Target="../drawings/drawing13.xml"/><Relationship Id="rId1" Type="http://schemas.openxmlformats.org/officeDocument/2006/relationships/printerSettings" Target="../printerSettings/printerSettings18.bin"/><Relationship Id="rId6" Type="http://schemas.openxmlformats.org/officeDocument/2006/relationships/control" Target="../activeX/activeX20.xml"/><Relationship Id="rId5" Type="http://schemas.openxmlformats.org/officeDocument/2006/relationships/image" Target="../media/image20.emf"/><Relationship Id="rId4" Type="http://schemas.openxmlformats.org/officeDocument/2006/relationships/control" Target="../activeX/activeX19.xml"/></Relationships>
</file>

<file path=xl/worksheets/_rels/sheet20.xml.rels><?xml version="1.0" encoding="UTF-8" standalone="yes"?>
<Relationships xmlns="http://schemas.openxmlformats.org/package/2006/relationships"><Relationship Id="rId8" Type="http://schemas.openxmlformats.org/officeDocument/2006/relationships/comments" Target="../comments19.xml"/><Relationship Id="rId3" Type="http://schemas.openxmlformats.org/officeDocument/2006/relationships/vmlDrawing" Target="../drawings/vmlDrawing19.vml"/><Relationship Id="rId7" Type="http://schemas.openxmlformats.org/officeDocument/2006/relationships/image" Target="../media/image23.emf"/><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ontrol" Target="../activeX/activeX22.xml"/><Relationship Id="rId5" Type="http://schemas.openxmlformats.org/officeDocument/2006/relationships/image" Target="../media/image22.emf"/><Relationship Id="rId4" Type="http://schemas.openxmlformats.org/officeDocument/2006/relationships/control" Target="../activeX/activeX2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24.emf"/><Relationship Id="rId4" Type="http://schemas.openxmlformats.org/officeDocument/2006/relationships/control" Target="../activeX/activeX2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24.xml"/><Relationship Id="rId2" Type="http://schemas.openxmlformats.org/officeDocument/2006/relationships/vmlDrawing" Target="../drawings/vmlDrawing21.vml"/><Relationship Id="rId1" Type="http://schemas.openxmlformats.org/officeDocument/2006/relationships/drawing" Target="../drawings/drawing17.xml"/><Relationship Id="rId4" Type="http://schemas.openxmlformats.org/officeDocument/2006/relationships/image" Target="../media/image29.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2"/>
  <dimension ref="B1:G30"/>
  <sheetViews>
    <sheetView topLeftCell="B5" workbookViewId="0">
      <selection activeCell="B2" sqref="B2:G2"/>
    </sheetView>
  </sheetViews>
  <sheetFormatPr defaultColWidth="4.5703125" defaultRowHeight="12.75" x14ac:dyDescent="0.2"/>
  <cols>
    <col min="1" max="1" width="0" style="163" hidden="1" customWidth="1"/>
    <col min="2" max="3" width="18.7109375" style="163" customWidth="1"/>
    <col min="4" max="4" width="48.7109375" style="163" customWidth="1"/>
    <col min="5" max="7" width="12.7109375" style="163" customWidth="1"/>
    <col min="8" max="16384" width="4.5703125" style="163"/>
  </cols>
  <sheetData>
    <row r="1" spans="2:7" hidden="1" x14ac:dyDescent="0.2"/>
    <row r="2" spans="2:7" ht="18" x14ac:dyDescent="0.2">
      <c r="B2" s="250" t="s">
        <v>318</v>
      </c>
      <c r="C2" s="250"/>
      <c r="D2" s="250"/>
      <c r="E2" s="250"/>
      <c r="F2" s="250"/>
      <c r="G2" s="250"/>
    </row>
    <row r="3" spans="2:7" ht="125.25" customHeight="1" x14ac:dyDescent="0.2">
      <c r="B3" s="251" t="s">
        <v>316</v>
      </c>
      <c r="C3" s="251"/>
      <c r="D3" s="251"/>
      <c r="E3" s="251"/>
      <c r="F3" s="251"/>
      <c r="G3" s="251"/>
    </row>
    <row r="4" spans="2:7" ht="13.5" customHeight="1" x14ac:dyDescent="0.2">
      <c r="B4" s="185"/>
      <c r="C4" s="186"/>
      <c r="D4" s="252"/>
      <c r="E4" s="253"/>
      <c r="F4" s="253"/>
      <c r="G4" s="254"/>
    </row>
    <row r="5" spans="2:7" ht="14.25" x14ac:dyDescent="0.3">
      <c r="B5" s="187" t="s">
        <v>280</v>
      </c>
      <c r="C5" s="176" t="s">
        <v>266</v>
      </c>
      <c r="D5" s="188"/>
      <c r="E5" s="189"/>
      <c r="F5" s="189"/>
      <c r="G5" s="190"/>
    </row>
    <row r="6" spans="2:7" ht="14.25" customHeight="1" x14ac:dyDescent="0.3">
      <c r="B6" s="182" t="s">
        <v>281</v>
      </c>
      <c r="C6" s="191">
        <f>COUNTIF(ISR清单!I4:I47,"待分析")</f>
        <v>0</v>
      </c>
      <c r="D6" s="188"/>
      <c r="E6" s="189"/>
      <c r="F6" s="189"/>
      <c r="G6" s="190"/>
    </row>
    <row r="7" spans="2:7" ht="14.25" customHeight="1" x14ac:dyDescent="0.3">
      <c r="B7" s="182" t="s">
        <v>282</v>
      </c>
      <c r="C7" s="191">
        <f>COUNTIF(ISR清单!I4:I47,"待排期")</f>
        <v>1</v>
      </c>
      <c r="D7" s="188"/>
      <c r="E7" s="189"/>
      <c r="F7" s="189"/>
      <c r="G7" s="190"/>
    </row>
    <row r="8" spans="2:7" ht="14.25" customHeight="1" x14ac:dyDescent="0.3">
      <c r="B8" s="182" t="s">
        <v>283</v>
      </c>
      <c r="C8" s="191">
        <f>COUNTIF(ISR清单!I4:I47,"已挂起")</f>
        <v>0</v>
      </c>
      <c r="D8" s="188"/>
      <c r="E8" s="189"/>
      <c r="F8" s="189"/>
      <c r="G8" s="190"/>
    </row>
    <row r="9" spans="2:7" ht="14.25" customHeight="1" x14ac:dyDescent="0.3">
      <c r="B9" s="182" t="s">
        <v>284</v>
      </c>
      <c r="C9" s="191">
        <f>本月退回ISR清单!C5</f>
        <v>0</v>
      </c>
      <c r="D9" s="188"/>
      <c r="E9" s="189"/>
      <c r="F9" s="189"/>
      <c r="G9" s="190"/>
    </row>
    <row r="10" spans="2:7" s="171" customFormat="1" ht="12.75" customHeight="1" x14ac:dyDescent="0.2">
      <c r="B10" s="203" t="s">
        <v>285</v>
      </c>
      <c r="C10" s="192"/>
      <c r="D10" s="193"/>
      <c r="E10" s="189"/>
      <c r="F10" s="189"/>
      <c r="G10" s="190"/>
    </row>
    <row r="11" spans="2:7" ht="14.25" customHeight="1" x14ac:dyDescent="0.2">
      <c r="B11" s="194"/>
      <c r="C11" s="195"/>
      <c r="D11" s="195"/>
      <c r="E11" s="196"/>
      <c r="F11" s="196"/>
      <c r="G11" s="197"/>
    </row>
    <row r="12" spans="2:7" ht="14.25" x14ac:dyDescent="0.3">
      <c r="B12" s="178" t="s">
        <v>286</v>
      </c>
      <c r="C12" s="178" t="s">
        <v>287</v>
      </c>
      <c r="D12" s="178" t="s">
        <v>288</v>
      </c>
      <c r="E12" s="177"/>
      <c r="F12" s="175"/>
      <c r="G12" s="198"/>
    </row>
    <row r="13" spans="2:7" ht="28.5" x14ac:dyDescent="0.3">
      <c r="B13" s="199" t="s">
        <v>289</v>
      </c>
      <c r="C13" s="200">
        <v>43391</v>
      </c>
      <c r="D13" s="200">
        <v>43391</v>
      </c>
      <c r="E13" s="201"/>
      <c r="F13" s="189"/>
      <c r="G13" s="190"/>
    </row>
    <row r="14" spans="2:7" ht="14.25" x14ac:dyDescent="0.3">
      <c r="B14" s="202" t="s">
        <v>290</v>
      </c>
      <c r="C14" s="200">
        <v>43391</v>
      </c>
      <c r="D14" s="200">
        <v>43395</v>
      </c>
      <c r="E14" s="188"/>
      <c r="F14" s="189"/>
      <c r="G14" s="190"/>
    </row>
    <row r="15" spans="2:7" ht="14.25" x14ac:dyDescent="0.3">
      <c r="B15" s="199" t="s">
        <v>291</v>
      </c>
      <c r="C15" s="200">
        <v>43391</v>
      </c>
      <c r="D15" s="200">
        <v>43395</v>
      </c>
      <c r="E15" s="201"/>
      <c r="F15" s="189"/>
      <c r="G15" s="190"/>
    </row>
    <row r="16" spans="2:7" ht="14.25" x14ac:dyDescent="0.3">
      <c r="B16" s="202" t="s">
        <v>292</v>
      </c>
      <c r="C16" s="200">
        <v>43398</v>
      </c>
      <c r="D16" s="200">
        <v>43410</v>
      </c>
      <c r="E16" s="201"/>
      <c r="F16" s="189"/>
      <c r="G16" s="190"/>
    </row>
    <row r="17" spans="2:7" ht="14.25" x14ac:dyDescent="0.2">
      <c r="B17" s="203" t="s">
        <v>293</v>
      </c>
      <c r="C17" s="183"/>
      <c r="D17" s="183"/>
      <c r="E17" s="183"/>
      <c r="F17" s="183"/>
      <c r="G17" s="204"/>
    </row>
    <row r="18" spans="2:7" ht="28.5" x14ac:dyDescent="0.2">
      <c r="B18" s="179" t="s">
        <v>187</v>
      </c>
      <c r="C18" s="180" t="s">
        <v>44</v>
      </c>
      <c r="D18" s="179" t="s">
        <v>46</v>
      </c>
      <c r="E18" s="179" t="s">
        <v>48</v>
      </c>
      <c r="F18" s="181" t="s">
        <v>294</v>
      </c>
      <c r="G18" s="179" t="s">
        <v>188</v>
      </c>
    </row>
    <row r="19" spans="2:7" x14ac:dyDescent="0.2">
      <c r="B19" s="184" t="s">
        <v>313</v>
      </c>
      <c r="C19" s="205">
        <v>43391</v>
      </c>
      <c r="D19" s="184" t="s">
        <v>314</v>
      </c>
      <c r="E19" s="184" t="s">
        <v>315</v>
      </c>
      <c r="F19" s="184" t="s">
        <v>260</v>
      </c>
      <c r="G19" s="184"/>
    </row>
    <row r="20" spans="2:7" x14ac:dyDescent="0.2">
      <c r="B20" s="184" t="s">
        <v>268</v>
      </c>
      <c r="C20" s="205">
        <v>43347</v>
      </c>
      <c r="D20" s="184" t="s">
        <v>270</v>
      </c>
      <c r="E20" s="184" t="s">
        <v>275</v>
      </c>
      <c r="F20" s="184" t="s">
        <v>260</v>
      </c>
      <c r="G20" s="184"/>
    </row>
    <row r="21" spans="2:7" ht="14.25" x14ac:dyDescent="0.2">
      <c r="B21" s="255" t="s">
        <v>295</v>
      </c>
      <c r="C21" s="256"/>
      <c r="D21" s="256"/>
      <c r="E21" s="256"/>
      <c r="F21" s="256"/>
      <c r="G21" s="257"/>
    </row>
    <row r="22" spans="2:7" ht="25.5" customHeight="1" x14ac:dyDescent="0.2">
      <c r="B22" s="179" t="s">
        <v>296</v>
      </c>
      <c r="C22" s="179" t="s">
        <v>297</v>
      </c>
      <c r="D22" s="179" t="s">
        <v>298</v>
      </c>
      <c r="E22" s="179" t="s">
        <v>48</v>
      </c>
      <c r="F22" s="179" t="s">
        <v>299</v>
      </c>
      <c r="G22" s="179" t="s">
        <v>188</v>
      </c>
    </row>
    <row r="23" spans="2:7" ht="14.25" x14ac:dyDescent="0.3">
      <c r="B23" s="182"/>
      <c r="C23" s="200"/>
      <c r="D23" s="182"/>
      <c r="E23" s="191"/>
      <c r="F23" s="182"/>
      <c r="G23" s="182"/>
    </row>
    <row r="24" spans="2:7" ht="14.25" x14ac:dyDescent="0.3">
      <c r="B24" s="182"/>
      <c r="C24" s="200"/>
      <c r="D24" s="182"/>
      <c r="E24" s="191"/>
      <c r="F24" s="182"/>
      <c r="G24" s="182"/>
    </row>
    <row r="25" spans="2:7" ht="14.25" x14ac:dyDescent="0.2">
      <c r="B25" s="255" t="s">
        <v>301</v>
      </c>
      <c r="C25" s="256"/>
      <c r="D25" s="256"/>
      <c r="E25" s="256"/>
      <c r="F25" s="256"/>
      <c r="G25" s="257"/>
    </row>
    <row r="26" spans="2:7" ht="14.25" x14ac:dyDescent="0.2">
      <c r="B26" s="179" t="s">
        <v>302</v>
      </c>
      <c r="C26" s="179" t="s">
        <v>280</v>
      </c>
      <c r="D26" s="179" t="s">
        <v>303</v>
      </c>
      <c r="E26" s="258" t="s">
        <v>304</v>
      </c>
      <c r="F26" s="259"/>
      <c r="G26" s="179" t="s">
        <v>305</v>
      </c>
    </row>
    <row r="27" spans="2:7" ht="23.25" customHeight="1" x14ac:dyDescent="0.2">
      <c r="B27" s="173" t="s">
        <v>181</v>
      </c>
      <c r="C27" s="173" t="s">
        <v>182</v>
      </c>
      <c r="D27" s="206">
        <v>42908</v>
      </c>
      <c r="E27" s="244" t="s">
        <v>183</v>
      </c>
      <c r="F27" s="245"/>
      <c r="G27" s="207"/>
    </row>
    <row r="28" spans="2:7" x14ac:dyDescent="0.2">
      <c r="B28" s="174" t="s">
        <v>306</v>
      </c>
      <c r="C28" s="173" t="s">
        <v>307</v>
      </c>
      <c r="D28" s="206">
        <v>42908</v>
      </c>
      <c r="E28" s="246" t="s">
        <v>308</v>
      </c>
      <c r="F28" s="247"/>
      <c r="G28" s="207"/>
    </row>
    <row r="29" spans="2:7" x14ac:dyDescent="0.2">
      <c r="B29" s="173"/>
      <c r="C29" s="173"/>
      <c r="D29" s="173"/>
      <c r="E29" s="248"/>
      <c r="F29" s="245"/>
      <c r="G29" s="173"/>
    </row>
    <row r="30" spans="2:7" ht="88.5" customHeight="1" x14ac:dyDescent="0.2">
      <c r="B30" s="208" t="s">
        <v>309</v>
      </c>
      <c r="C30" s="249" t="s">
        <v>310</v>
      </c>
      <c r="D30" s="249"/>
      <c r="E30" s="249"/>
      <c r="F30" s="249"/>
      <c r="G30" s="249"/>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xr:uid="{00000000-0002-0000-00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9873"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987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dimension ref="B1:G30"/>
  <sheetViews>
    <sheetView topLeftCell="B2" workbookViewId="0">
      <selection activeCell="B2" sqref="B2:G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2:7" s="159" customFormat="1" hidden="1" x14ac:dyDescent="0.2"/>
    <row r="2" spans="2:7" ht="18" x14ac:dyDescent="0.2">
      <c r="B2" s="250" t="s">
        <v>330</v>
      </c>
      <c r="C2" s="250"/>
      <c r="D2" s="250"/>
      <c r="E2" s="250"/>
      <c r="F2" s="250"/>
      <c r="G2" s="250"/>
    </row>
    <row r="3" spans="2:7" ht="125.25" customHeight="1" x14ac:dyDescent="0.2">
      <c r="B3" s="251" t="s">
        <v>329</v>
      </c>
      <c r="C3" s="251"/>
      <c r="D3" s="251"/>
      <c r="E3" s="251"/>
      <c r="F3" s="251"/>
      <c r="G3" s="251"/>
    </row>
    <row r="4" spans="2:7" ht="13.5" customHeight="1" x14ac:dyDescent="0.2">
      <c r="B4" s="138"/>
      <c r="C4" s="139"/>
      <c r="D4" s="252"/>
      <c r="E4" s="253"/>
      <c r="F4" s="253"/>
      <c r="G4" s="254"/>
    </row>
    <row r="5" spans="2:7" ht="14.25" x14ac:dyDescent="0.3">
      <c r="B5" s="140" t="s">
        <v>280</v>
      </c>
      <c r="C5" s="129" t="s">
        <v>266</v>
      </c>
      <c r="D5" s="141"/>
      <c r="E5" s="142"/>
      <c r="F5" s="142"/>
      <c r="G5" s="143"/>
    </row>
    <row r="6" spans="2:7" ht="14.25" customHeight="1" x14ac:dyDescent="0.3">
      <c r="B6" s="135" t="s">
        <v>281</v>
      </c>
      <c r="C6" s="160">
        <f>COUNTIF(ISR清单!I4:I47,"待分析")</f>
        <v>0</v>
      </c>
      <c r="D6" s="141"/>
      <c r="E6" s="142"/>
      <c r="F6" s="142"/>
      <c r="G6" s="143"/>
    </row>
    <row r="7" spans="2:7" ht="14.25" customHeight="1" x14ac:dyDescent="0.3">
      <c r="B7" s="135" t="s">
        <v>282</v>
      </c>
      <c r="C7" s="160">
        <f>COUNTIF(ISR清单!I4:I47,"待排期")</f>
        <v>1</v>
      </c>
      <c r="D7" s="141"/>
      <c r="E7" s="142"/>
      <c r="F7" s="142"/>
      <c r="G7" s="143"/>
    </row>
    <row r="8" spans="2:7" ht="14.25" customHeight="1" x14ac:dyDescent="0.3">
      <c r="B8" s="135" t="s">
        <v>283</v>
      </c>
      <c r="C8" s="160">
        <f>COUNTIF(ISR清单!I4:I47,"已挂起")</f>
        <v>0</v>
      </c>
      <c r="D8" s="141"/>
      <c r="E8" s="142"/>
      <c r="F8" s="142"/>
      <c r="G8" s="143"/>
    </row>
    <row r="9" spans="2:7" ht="14.25" customHeight="1" x14ac:dyDescent="0.3">
      <c r="B9" s="135" t="s">
        <v>284</v>
      </c>
      <c r="C9" s="144">
        <f>本月退回ISR清单!C5</f>
        <v>0</v>
      </c>
      <c r="D9" s="141"/>
      <c r="E9" s="142"/>
      <c r="F9" s="142"/>
      <c r="G9" s="143"/>
    </row>
    <row r="10" spans="2:7" s="50" customFormat="1" ht="12.75" customHeight="1" x14ac:dyDescent="0.2">
      <c r="B10" s="203" t="s">
        <v>285</v>
      </c>
      <c r="C10" s="145"/>
      <c r="D10" s="146"/>
      <c r="E10" s="142"/>
      <c r="F10" s="142"/>
      <c r="G10" s="143"/>
    </row>
    <row r="11" spans="2:7" ht="14.25" customHeight="1" x14ac:dyDescent="0.2">
      <c r="B11" s="147"/>
      <c r="C11" s="148"/>
      <c r="D11" s="148"/>
      <c r="E11" s="149"/>
      <c r="F11" s="149"/>
      <c r="G11" s="150"/>
    </row>
    <row r="12" spans="2:7" ht="14.25" x14ac:dyDescent="0.3">
      <c r="B12" s="131" t="s">
        <v>286</v>
      </c>
      <c r="C12" s="131" t="s">
        <v>287</v>
      </c>
      <c r="D12" s="131" t="s">
        <v>288</v>
      </c>
      <c r="E12" s="130"/>
      <c r="F12" s="128"/>
      <c r="G12" s="151"/>
    </row>
    <row r="13" spans="2:7" ht="28.5" x14ac:dyDescent="0.3">
      <c r="B13" s="152" t="s">
        <v>289</v>
      </c>
      <c r="C13" s="153">
        <v>43391</v>
      </c>
      <c r="D13" s="153">
        <v>43391</v>
      </c>
      <c r="E13" s="154"/>
      <c r="F13" s="142"/>
      <c r="G13" s="143"/>
    </row>
    <row r="14" spans="2:7" ht="14.25" x14ac:dyDescent="0.3">
      <c r="B14" s="155" t="s">
        <v>290</v>
      </c>
      <c r="C14" s="153">
        <v>43391</v>
      </c>
      <c r="D14" s="153">
        <v>43395</v>
      </c>
      <c r="E14" s="141"/>
      <c r="F14" s="142"/>
      <c r="G14" s="143"/>
    </row>
    <row r="15" spans="2:7" ht="14.25" x14ac:dyDescent="0.3">
      <c r="B15" s="152" t="s">
        <v>291</v>
      </c>
      <c r="C15" s="153">
        <v>43391</v>
      </c>
      <c r="D15" s="153">
        <v>43395</v>
      </c>
      <c r="E15" s="154"/>
      <c r="F15" s="142"/>
      <c r="G15" s="143"/>
    </row>
    <row r="16" spans="2:7" ht="14.25" x14ac:dyDescent="0.3">
      <c r="B16" s="155" t="s">
        <v>292</v>
      </c>
      <c r="C16" s="153">
        <v>43398</v>
      </c>
      <c r="D16" s="153">
        <v>43410</v>
      </c>
      <c r="E16" s="154"/>
      <c r="F16" s="142"/>
      <c r="G16" s="143"/>
    </row>
    <row r="17" spans="2:7" ht="14.25" x14ac:dyDescent="0.2">
      <c r="B17" s="156" t="s">
        <v>293</v>
      </c>
      <c r="C17" s="136"/>
      <c r="D17" s="136"/>
      <c r="E17" s="136"/>
      <c r="F17" s="136"/>
      <c r="G17" s="157"/>
    </row>
    <row r="18" spans="2:7" ht="28.5" x14ac:dyDescent="0.2">
      <c r="B18" s="132" t="s">
        <v>187</v>
      </c>
      <c r="C18" s="133" t="s">
        <v>44</v>
      </c>
      <c r="D18" s="132" t="s">
        <v>46</v>
      </c>
      <c r="E18" s="132" t="s">
        <v>48</v>
      </c>
      <c r="F18" s="134" t="s">
        <v>294</v>
      </c>
      <c r="G18" s="132" t="s">
        <v>188</v>
      </c>
    </row>
    <row r="19" spans="2:7" x14ac:dyDescent="0.2">
      <c r="B19" s="137" t="s">
        <v>313</v>
      </c>
      <c r="C19" s="158">
        <v>43391</v>
      </c>
      <c r="D19" s="137" t="s">
        <v>314</v>
      </c>
      <c r="E19" s="137" t="s">
        <v>315</v>
      </c>
      <c r="F19" s="137" t="s">
        <v>260</v>
      </c>
      <c r="G19" s="137"/>
    </row>
    <row r="20" spans="2:7" s="163" customFormat="1" x14ac:dyDescent="0.2">
      <c r="B20" s="184" t="s">
        <v>268</v>
      </c>
      <c r="C20" s="205">
        <v>43347</v>
      </c>
      <c r="D20" s="184" t="s">
        <v>270</v>
      </c>
      <c r="E20" s="184" t="s">
        <v>275</v>
      </c>
      <c r="F20" s="184" t="s">
        <v>260</v>
      </c>
      <c r="G20" s="184"/>
    </row>
    <row r="21" spans="2:7" ht="14.25" x14ac:dyDescent="0.2">
      <c r="B21" s="255" t="s">
        <v>295</v>
      </c>
      <c r="C21" s="256"/>
      <c r="D21" s="256"/>
      <c r="E21" s="256"/>
      <c r="F21" s="256"/>
      <c r="G21" s="257"/>
    </row>
    <row r="22" spans="2:7" ht="25.5" customHeight="1" x14ac:dyDescent="0.2">
      <c r="B22" s="132" t="s">
        <v>296</v>
      </c>
      <c r="C22" s="132" t="s">
        <v>297</v>
      </c>
      <c r="D22" s="132" t="s">
        <v>298</v>
      </c>
      <c r="E22" s="132" t="s">
        <v>48</v>
      </c>
      <c r="F22" s="132" t="s">
        <v>299</v>
      </c>
      <c r="G22" s="132" t="s">
        <v>188</v>
      </c>
    </row>
    <row r="23" spans="2:7" ht="23.25" x14ac:dyDescent="0.2">
      <c r="B23" s="126" t="s">
        <v>300</v>
      </c>
      <c r="C23" s="125">
        <v>43392</v>
      </c>
      <c r="D23" s="126" t="s">
        <v>325</v>
      </c>
      <c r="E23" s="124" t="s">
        <v>275</v>
      </c>
      <c r="F23" s="126" t="s">
        <v>260</v>
      </c>
      <c r="G23" s="126"/>
    </row>
    <row r="24" spans="2:7" s="163" customFormat="1" x14ac:dyDescent="0.2">
      <c r="B24" s="126"/>
      <c r="C24" s="125"/>
      <c r="D24" s="126"/>
      <c r="E24" s="124"/>
      <c r="F24" s="126"/>
      <c r="G24" s="126"/>
    </row>
    <row r="25" spans="2:7" ht="14.25" x14ac:dyDescent="0.2">
      <c r="B25" s="255" t="s">
        <v>301</v>
      </c>
      <c r="C25" s="256"/>
      <c r="D25" s="256"/>
      <c r="E25" s="256"/>
      <c r="F25" s="256"/>
      <c r="G25" s="257"/>
    </row>
    <row r="26" spans="2:7" ht="14.25" x14ac:dyDescent="0.2">
      <c r="B26" s="132" t="s">
        <v>302</v>
      </c>
      <c r="C26" s="132" t="s">
        <v>280</v>
      </c>
      <c r="D26" s="132" t="s">
        <v>303</v>
      </c>
      <c r="E26" s="258" t="s">
        <v>304</v>
      </c>
      <c r="F26" s="259"/>
      <c r="G26" s="132" t="s">
        <v>305</v>
      </c>
    </row>
    <row r="27" spans="2:7" x14ac:dyDescent="0.2">
      <c r="B27" s="209" t="s">
        <v>181</v>
      </c>
      <c r="C27" s="209" t="s">
        <v>182</v>
      </c>
      <c r="D27" s="210">
        <v>42908</v>
      </c>
      <c r="E27" s="260" t="s">
        <v>183</v>
      </c>
      <c r="F27" s="261"/>
      <c r="G27" s="211"/>
    </row>
    <row r="28" spans="2:7" x14ac:dyDescent="0.2">
      <c r="B28" s="209" t="s">
        <v>306</v>
      </c>
      <c r="C28" s="209" t="s">
        <v>307</v>
      </c>
      <c r="D28" s="210">
        <v>42908</v>
      </c>
      <c r="E28" s="262" t="s">
        <v>308</v>
      </c>
      <c r="F28" s="263"/>
      <c r="G28" s="211"/>
    </row>
    <row r="29" spans="2:7" x14ac:dyDescent="0.2">
      <c r="B29" s="127"/>
      <c r="C29" s="127"/>
      <c r="D29" s="127"/>
      <c r="E29" s="248"/>
      <c r="F29" s="245"/>
      <c r="G29" s="127"/>
    </row>
    <row r="30" spans="2:7" ht="88.5" customHeight="1" x14ac:dyDescent="0.2">
      <c r="B30" s="212" t="s">
        <v>309</v>
      </c>
      <c r="C30" s="264" t="s">
        <v>310</v>
      </c>
      <c r="D30" s="264"/>
      <c r="E30" s="264"/>
      <c r="F30" s="264"/>
      <c r="G30" s="264"/>
    </row>
  </sheetData>
  <sheetProtection sheet="1" objects="1" scenarios="1"/>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xr:uid="{00000000-0002-0000-01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68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6801"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3:F26"/>
  <sheetViews>
    <sheetView topLeftCell="A7" workbookViewId="0">
      <selection activeCell="F15" sqref="F15"/>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267" t="s">
        <v>38</v>
      </c>
      <c r="C6" s="267"/>
      <c r="D6" s="267"/>
      <c r="E6" s="267"/>
      <c r="F6" s="267"/>
    </row>
    <row r="8" spans="2:6" ht="14.25" x14ac:dyDescent="0.15">
      <c r="B8" s="265" t="s">
        <v>1</v>
      </c>
      <c r="C8" s="265"/>
      <c r="D8" s="265"/>
      <c r="E8" s="265"/>
      <c r="F8" s="265"/>
    </row>
    <row r="9" spans="2:6" ht="6.75" customHeight="1" x14ac:dyDescent="0.15">
      <c r="B9" s="266"/>
      <c r="C9" s="266"/>
      <c r="D9" s="266"/>
      <c r="E9" s="266"/>
      <c r="F9" s="266"/>
    </row>
    <row r="10" spans="2:6" x14ac:dyDescent="0.15">
      <c r="B10" s="3" t="s">
        <v>6</v>
      </c>
      <c r="C10" s="3" t="s">
        <v>7</v>
      </c>
      <c r="D10" s="4" t="s">
        <v>4</v>
      </c>
      <c r="E10" s="4" t="s">
        <v>2</v>
      </c>
      <c r="F10" s="4" t="s">
        <v>3</v>
      </c>
    </row>
    <row r="11" spans="2:6" ht="36" x14ac:dyDescent="0.15">
      <c r="B11" s="5" t="s">
        <v>322</v>
      </c>
      <c r="C11" s="5"/>
      <c r="D11" s="213" t="s">
        <v>324</v>
      </c>
      <c r="E11" s="7" t="s">
        <v>323</v>
      </c>
      <c r="F11" s="6"/>
    </row>
    <row r="12" spans="2:6" x14ac:dyDescent="0.15">
      <c r="B12" s="5"/>
      <c r="C12" s="5"/>
      <c r="D12" s="213"/>
      <c r="E12" s="6"/>
      <c r="F12" s="6"/>
    </row>
    <row r="13" spans="2:6" x14ac:dyDescent="0.15">
      <c r="B13" s="5"/>
      <c r="C13" s="5"/>
      <c r="D13" s="213"/>
      <c r="E13" s="6"/>
      <c r="F13" s="6"/>
    </row>
    <row r="14" spans="2:6" x14ac:dyDescent="0.15">
      <c r="B14" s="5"/>
      <c r="C14" s="5"/>
      <c r="D14" s="213"/>
      <c r="E14" s="6"/>
      <c r="F14" s="6"/>
    </row>
    <row r="15" spans="2:6" x14ac:dyDescent="0.15">
      <c r="B15" s="5"/>
      <c r="C15" s="5"/>
      <c r="D15" s="213"/>
      <c r="E15" s="6"/>
      <c r="F15" s="6"/>
    </row>
    <row r="16" spans="2:6" x14ac:dyDescent="0.15">
      <c r="B16" s="5"/>
      <c r="C16" s="5"/>
      <c r="D16" s="213"/>
      <c r="E16" s="6"/>
      <c r="F16" s="6"/>
    </row>
    <row r="17" spans="2:6" x14ac:dyDescent="0.15">
      <c r="B17" s="5"/>
      <c r="C17" s="5"/>
      <c r="D17" s="213"/>
      <c r="E17" s="6"/>
      <c r="F17" s="6"/>
    </row>
    <row r="18" spans="2:6" x14ac:dyDescent="0.15">
      <c r="B18" s="5"/>
      <c r="C18" s="5"/>
      <c r="D18" s="213"/>
      <c r="E18" s="6"/>
      <c r="F18" s="6"/>
    </row>
    <row r="19" spans="2:6" x14ac:dyDescent="0.15">
      <c r="B19" s="5"/>
      <c r="C19" s="5"/>
      <c r="D19" s="213"/>
      <c r="E19" s="6"/>
      <c r="F19" s="6"/>
    </row>
    <row r="20" spans="2:6" x14ac:dyDescent="0.15">
      <c r="B20" s="5"/>
      <c r="C20" s="5"/>
      <c r="D20" s="213"/>
      <c r="E20" s="6"/>
      <c r="F20" s="6"/>
    </row>
    <row r="21" spans="2:6" x14ac:dyDescent="0.15">
      <c r="B21" s="5"/>
      <c r="C21" s="5"/>
      <c r="D21" s="213"/>
      <c r="E21" s="6"/>
      <c r="F21" s="6"/>
    </row>
    <row r="22" spans="2:6" x14ac:dyDescent="0.15">
      <c r="B22" s="5"/>
      <c r="C22" s="5"/>
      <c r="D22" s="213"/>
      <c r="E22" s="6"/>
      <c r="F22" s="6"/>
    </row>
    <row r="23" spans="2:6" x14ac:dyDescent="0.15">
      <c r="B23" s="5"/>
      <c r="C23" s="5"/>
      <c r="D23" s="213"/>
      <c r="E23" s="6"/>
      <c r="F23" s="6"/>
    </row>
    <row r="24" spans="2:6" x14ac:dyDescent="0.15">
      <c r="B24" s="5"/>
      <c r="C24" s="5"/>
      <c r="D24" s="213"/>
      <c r="E24" s="6"/>
      <c r="F24" s="6"/>
    </row>
    <row r="25" spans="2:6" x14ac:dyDescent="0.15">
      <c r="B25" s="5"/>
      <c r="C25" s="5"/>
      <c r="D25" s="213"/>
      <c r="E25" s="6"/>
      <c r="F25" s="6"/>
    </row>
    <row r="26" spans="2:6" x14ac:dyDescent="0.15">
      <c r="B26" s="5"/>
      <c r="C26" s="5"/>
      <c r="D26" s="213"/>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E43"/>
  <sheetViews>
    <sheetView topLeftCell="A7" workbookViewId="0">
      <selection activeCell="A26" sqref="A26:XFD26"/>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1" t="s">
        <v>159</v>
      </c>
      <c r="B11" s="12"/>
      <c r="C11" s="12">
        <v>42837</v>
      </c>
      <c r="D11" s="12"/>
      <c r="E11" s="42"/>
    </row>
    <row r="12" spans="1:5" x14ac:dyDescent="0.2">
      <c r="A12" s="71" t="s">
        <v>160</v>
      </c>
      <c r="B12" s="12"/>
      <c r="C12" s="12">
        <v>42908</v>
      </c>
      <c r="D12" s="12"/>
      <c r="E12" s="9"/>
    </row>
    <row r="13" spans="1:5" x14ac:dyDescent="0.2">
      <c r="A13" s="71" t="s">
        <v>161</v>
      </c>
      <c r="B13" s="12"/>
      <c r="C13" s="12">
        <v>42957</v>
      </c>
      <c r="D13" s="12"/>
      <c r="E13" s="9"/>
    </row>
    <row r="14" spans="1:5" x14ac:dyDescent="0.2">
      <c r="A14" s="106" t="s">
        <v>197</v>
      </c>
      <c r="B14" s="12"/>
      <c r="C14" s="12">
        <v>43052</v>
      </c>
      <c r="D14" s="12"/>
      <c r="E14" s="9"/>
    </row>
    <row r="15" spans="1:5" x14ac:dyDescent="0.2">
      <c r="A15" s="106" t="s">
        <v>198</v>
      </c>
      <c r="B15" s="15"/>
      <c r="C15" s="15"/>
      <c r="D15" s="9"/>
      <c r="E15" s="9"/>
    </row>
    <row r="16" spans="1:5" x14ac:dyDescent="0.2">
      <c r="A16" s="106" t="s">
        <v>199</v>
      </c>
      <c r="B16" s="15"/>
      <c r="C16" s="108">
        <v>42796</v>
      </c>
      <c r="D16" s="9"/>
      <c r="E16" s="9"/>
    </row>
    <row r="17" spans="1:5" x14ac:dyDescent="0.2">
      <c r="A17" s="107" t="s">
        <v>206</v>
      </c>
      <c r="B17" s="108">
        <v>43171</v>
      </c>
      <c r="C17" s="108">
        <v>43174</v>
      </c>
      <c r="D17" s="9"/>
      <c r="E17" s="9"/>
    </row>
    <row r="18" spans="1:5" x14ac:dyDescent="0.2">
      <c r="A18" s="109" t="s">
        <v>223</v>
      </c>
      <c r="B18" s="108">
        <v>43215</v>
      </c>
      <c r="C18" s="108">
        <v>43215</v>
      </c>
      <c r="D18" s="9"/>
      <c r="E18" s="9"/>
    </row>
    <row r="19" spans="1:5" x14ac:dyDescent="0.2">
      <c r="A19" s="110" t="s">
        <v>240</v>
      </c>
      <c r="B19" s="15"/>
      <c r="C19" s="15"/>
      <c r="D19" s="9"/>
      <c r="E19" s="9"/>
    </row>
    <row r="20" spans="1:5" x14ac:dyDescent="0.2">
      <c r="A20" s="118" t="s">
        <v>249</v>
      </c>
      <c r="B20" s="108">
        <v>43270</v>
      </c>
      <c r="C20" s="108">
        <v>43270</v>
      </c>
      <c r="D20" s="9"/>
      <c r="E20" s="9"/>
    </row>
    <row r="21" spans="1:5" x14ac:dyDescent="0.2">
      <c r="A21" s="118" t="s">
        <v>253</v>
      </c>
      <c r="B21" s="108">
        <v>43291</v>
      </c>
      <c r="C21" s="108">
        <v>43291</v>
      </c>
      <c r="D21" s="9"/>
      <c r="E21" s="9"/>
    </row>
    <row r="22" spans="1:5" x14ac:dyDescent="0.2">
      <c r="A22" s="118" t="s">
        <v>265</v>
      </c>
      <c r="B22" s="15"/>
      <c r="C22" s="15"/>
      <c r="D22" s="9"/>
      <c r="E22" s="9"/>
    </row>
    <row r="23" spans="1:5" x14ac:dyDescent="0.2">
      <c r="A23" s="118" t="s">
        <v>267</v>
      </c>
      <c r="B23" s="15"/>
      <c r="C23" s="108">
        <v>43410</v>
      </c>
      <c r="D23" s="9"/>
      <c r="E23" s="9"/>
    </row>
    <row r="24" spans="1:5" x14ac:dyDescent="0.2">
      <c r="A24" s="118" t="s">
        <v>272</v>
      </c>
      <c r="B24" s="15"/>
      <c r="C24" s="108">
        <v>43423</v>
      </c>
      <c r="D24" s="9"/>
      <c r="E24" s="9"/>
    </row>
    <row r="25" spans="1:5" x14ac:dyDescent="0.2">
      <c r="A25" s="118" t="s">
        <v>273</v>
      </c>
      <c r="B25" s="15"/>
      <c r="C25" s="108"/>
      <c r="D25" s="9"/>
      <c r="E25" s="9"/>
    </row>
    <row r="26" spans="1:5" x14ac:dyDescent="0.2">
      <c r="A26" s="118" t="s">
        <v>361</v>
      </c>
      <c r="B26" s="15"/>
      <c r="C26" s="15"/>
      <c r="D26" s="9"/>
      <c r="E26" s="9"/>
    </row>
    <row r="27" spans="1:5" x14ac:dyDescent="0.2">
      <c r="A27" s="118" t="s">
        <v>362</v>
      </c>
      <c r="B27" s="15"/>
      <c r="C27" s="15"/>
      <c r="D27" s="9"/>
      <c r="E27" s="9"/>
    </row>
    <row r="28" spans="1:5" x14ac:dyDescent="0.2">
      <c r="A28" s="118" t="s">
        <v>363</v>
      </c>
      <c r="B28" s="15"/>
      <c r="C28" s="15"/>
      <c r="D28" s="9"/>
      <c r="E28" s="9"/>
    </row>
    <row r="29" spans="1:5" x14ac:dyDescent="0.2">
      <c r="A29" s="118" t="s">
        <v>364</v>
      </c>
      <c r="B29" s="15"/>
      <c r="C29" s="15"/>
      <c r="D29" s="9"/>
      <c r="E29" s="9"/>
    </row>
    <row r="30" spans="1:5" x14ac:dyDescent="0.2">
      <c r="A30" s="118" t="s">
        <v>365</v>
      </c>
      <c r="B30" s="15"/>
      <c r="C30" s="15"/>
      <c r="D30" s="9"/>
      <c r="E30" s="9"/>
    </row>
    <row r="31" spans="1:5" x14ac:dyDescent="0.2">
      <c r="A31" s="118" t="s">
        <v>366</v>
      </c>
      <c r="B31" s="15"/>
      <c r="C31" s="15"/>
      <c r="D31" s="9"/>
      <c r="E31" s="9"/>
    </row>
    <row r="32" spans="1:5" x14ac:dyDescent="0.2">
      <c r="A32" s="118" t="s">
        <v>367</v>
      </c>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R65"/>
  <sheetViews>
    <sheetView tabSelected="1" topLeftCell="A2" workbookViewId="0">
      <selection activeCell="E15" sqref="E15"/>
    </sheetView>
  </sheetViews>
  <sheetFormatPr defaultRowHeight="12" x14ac:dyDescent="0.15"/>
  <cols>
    <col min="1" max="1" width="20.140625" style="221" bestFit="1" customWidth="1"/>
    <col min="2" max="2" width="13.7109375" style="221" customWidth="1"/>
    <col min="3" max="3" width="37.42578125" style="221" customWidth="1"/>
    <col min="4" max="4" width="44.85546875" style="221" customWidth="1"/>
    <col min="5" max="5" width="11.85546875" style="221" bestFit="1" customWidth="1"/>
    <col min="6" max="6" width="9.7109375" style="221" bestFit="1" customWidth="1"/>
    <col min="7" max="7" width="12.140625" style="221" customWidth="1"/>
    <col min="8" max="8" width="11.5703125" style="221" customWidth="1"/>
    <col min="9" max="9" width="10.5703125" style="221" customWidth="1"/>
    <col min="10" max="10" width="9" style="221" customWidth="1"/>
    <col min="11" max="11" width="18.85546875" style="221" customWidth="1"/>
    <col min="12" max="12" width="10.42578125" style="221" customWidth="1"/>
    <col min="13" max="13" width="10.5703125" style="221" customWidth="1"/>
    <col min="14" max="14" width="17.42578125" style="221" customWidth="1"/>
    <col min="15" max="15" width="11" style="221" customWidth="1"/>
    <col min="16" max="16" width="11.28515625" style="221" customWidth="1"/>
    <col min="17" max="17" width="32.5703125" style="221" customWidth="1"/>
    <col min="18" max="18" width="11.85546875" style="222" bestFit="1" customWidth="1"/>
    <col min="19" max="16384" width="9.140625" style="221"/>
  </cols>
  <sheetData>
    <row r="1" spans="1:18" ht="110.25" hidden="1" customHeight="1" x14ac:dyDescent="0.15">
      <c r="A1" s="268" t="s">
        <v>40</v>
      </c>
      <c r="B1" s="268"/>
      <c r="C1" s="268"/>
    </row>
    <row r="2" spans="1:18" ht="14.25" customHeight="1" x14ac:dyDescent="0.15">
      <c r="A2" s="269" t="s">
        <v>42</v>
      </c>
      <c r="B2" s="269"/>
      <c r="C2" s="269"/>
    </row>
    <row r="3" spans="1:18" s="226" customFormat="1" ht="24" x14ac:dyDescent="0.15">
      <c r="A3" s="223" t="s">
        <v>43</v>
      </c>
      <c r="B3" s="223" t="s">
        <v>45</v>
      </c>
      <c r="C3" s="223" t="s">
        <v>47</v>
      </c>
      <c r="D3" s="223" t="s">
        <v>101</v>
      </c>
      <c r="E3" s="223" t="s">
        <v>102</v>
      </c>
      <c r="F3" s="223" t="s">
        <v>121</v>
      </c>
      <c r="G3" s="223" t="s">
        <v>103</v>
      </c>
      <c r="H3" s="223" t="s">
        <v>104</v>
      </c>
      <c r="I3" s="224" t="s">
        <v>122</v>
      </c>
      <c r="J3" s="224" t="s">
        <v>105</v>
      </c>
      <c r="K3" s="224" t="s">
        <v>106</v>
      </c>
      <c r="L3" s="224" t="s">
        <v>107</v>
      </c>
      <c r="M3" s="224" t="s">
        <v>108</v>
      </c>
      <c r="N3" s="224" t="s">
        <v>109</v>
      </c>
      <c r="O3" s="224" t="s">
        <v>110</v>
      </c>
      <c r="P3" s="224" t="s">
        <v>111</v>
      </c>
      <c r="Q3" s="224" t="s">
        <v>112</v>
      </c>
      <c r="R3" s="225" t="s">
        <v>158</v>
      </c>
    </row>
    <row r="4" spans="1:18" x14ac:dyDescent="0.15">
      <c r="A4" s="227" t="s">
        <v>173</v>
      </c>
      <c r="B4" s="228">
        <v>42888</v>
      </c>
      <c r="C4" s="227" t="s">
        <v>174</v>
      </c>
      <c r="D4" s="227" t="s">
        <v>331</v>
      </c>
      <c r="E4" s="227" t="s">
        <v>156</v>
      </c>
      <c r="F4" s="227" t="s">
        <v>157</v>
      </c>
      <c r="G4" s="228"/>
      <c r="H4" s="227"/>
      <c r="I4" s="229" t="s">
        <v>175</v>
      </c>
      <c r="J4" s="230"/>
      <c r="K4" s="229"/>
      <c r="L4" s="229"/>
      <c r="M4" s="229">
        <v>6</v>
      </c>
      <c r="N4" s="229" t="s">
        <v>192</v>
      </c>
      <c r="O4" s="229" t="s">
        <v>172</v>
      </c>
      <c r="P4" s="229"/>
      <c r="Q4" s="229"/>
      <c r="R4" s="231">
        <v>17700</v>
      </c>
    </row>
    <row r="5" spans="1:18" x14ac:dyDescent="0.15">
      <c r="A5" s="227" t="s">
        <v>168</v>
      </c>
      <c r="B5" s="228">
        <v>42877</v>
      </c>
      <c r="C5" s="227" t="s">
        <v>162</v>
      </c>
      <c r="D5" s="227"/>
      <c r="E5" s="227" t="s">
        <v>164</v>
      </c>
      <c r="F5" s="227" t="s">
        <v>166</v>
      </c>
      <c r="G5" s="228"/>
      <c r="H5" s="227"/>
      <c r="I5" s="229" t="s">
        <v>175</v>
      </c>
      <c r="J5" s="230"/>
      <c r="K5" s="229"/>
      <c r="L5" s="229"/>
      <c r="M5" s="229"/>
      <c r="N5" s="229" t="s">
        <v>170</v>
      </c>
      <c r="O5" s="229" t="s">
        <v>172</v>
      </c>
      <c r="P5" s="229"/>
      <c r="Q5" s="229"/>
      <c r="R5" s="231">
        <v>9150</v>
      </c>
    </row>
    <row r="6" spans="1:18" x14ac:dyDescent="0.15">
      <c r="A6" s="227" t="s">
        <v>169</v>
      </c>
      <c r="B6" s="228">
        <v>42873</v>
      </c>
      <c r="C6" s="227" t="s">
        <v>332</v>
      </c>
      <c r="D6" s="227" t="s">
        <v>333</v>
      </c>
      <c r="E6" s="227" t="s">
        <v>164</v>
      </c>
      <c r="F6" s="227" t="s">
        <v>166</v>
      </c>
      <c r="G6" s="228"/>
      <c r="H6" s="227"/>
      <c r="I6" s="229"/>
      <c r="J6" s="230"/>
      <c r="K6" s="229"/>
      <c r="L6" s="229"/>
      <c r="M6" s="229"/>
      <c r="N6" s="229"/>
      <c r="O6" s="229" t="s">
        <v>172</v>
      </c>
      <c r="P6" s="229"/>
      <c r="Q6" s="229" t="s">
        <v>171</v>
      </c>
      <c r="R6" s="231">
        <v>0</v>
      </c>
    </row>
    <row r="7" spans="1:18" ht="13.5" customHeight="1" x14ac:dyDescent="0.15">
      <c r="A7" s="227" t="s">
        <v>196</v>
      </c>
      <c r="B7" s="228">
        <v>43024</v>
      </c>
      <c r="C7" s="227" t="s">
        <v>334</v>
      </c>
      <c r="D7" s="227" t="s">
        <v>334</v>
      </c>
      <c r="E7" s="227" t="s">
        <v>156</v>
      </c>
      <c r="F7" s="227" t="s">
        <v>157</v>
      </c>
      <c r="G7" s="228"/>
      <c r="H7" s="227"/>
      <c r="I7" s="229" t="s">
        <v>175</v>
      </c>
      <c r="J7" s="230"/>
      <c r="K7" s="229"/>
      <c r="L7" s="229"/>
      <c r="M7" s="229"/>
      <c r="N7" s="229" t="s">
        <v>200</v>
      </c>
      <c r="O7" s="229" t="s">
        <v>172</v>
      </c>
      <c r="P7" s="229"/>
      <c r="Q7" s="229"/>
      <c r="R7" s="231">
        <v>41650</v>
      </c>
    </row>
    <row r="8" spans="1:18" ht="60" x14ac:dyDescent="0.15">
      <c r="A8" s="227" t="s">
        <v>205</v>
      </c>
      <c r="B8" s="228">
        <v>43119</v>
      </c>
      <c r="C8" s="232" t="s">
        <v>335</v>
      </c>
      <c r="D8" s="226" t="s">
        <v>335</v>
      </c>
      <c r="E8" s="227" t="s">
        <v>156</v>
      </c>
      <c r="F8" s="227" t="s">
        <v>157</v>
      </c>
      <c r="G8" s="228"/>
      <c r="H8" s="227"/>
      <c r="I8" s="229" t="s">
        <v>175</v>
      </c>
      <c r="J8" s="230"/>
      <c r="K8" s="229"/>
      <c r="L8" s="229"/>
      <c r="M8" s="229"/>
      <c r="N8" s="229" t="s">
        <v>207</v>
      </c>
      <c r="O8" s="229" t="s">
        <v>208</v>
      </c>
      <c r="P8" s="229"/>
      <c r="Q8" s="229"/>
      <c r="R8" s="231"/>
    </row>
    <row r="9" spans="1:18" x14ac:dyDescent="0.15">
      <c r="A9" s="227" t="s">
        <v>213</v>
      </c>
      <c r="B9" s="228">
        <v>43189</v>
      </c>
      <c r="C9" s="227" t="s">
        <v>215</v>
      </c>
      <c r="D9" s="227" t="s">
        <v>215</v>
      </c>
      <c r="E9" s="214" t="s">
        <v>214</v>
      </c>
      <c r="F9" s="214" t="s">
        <v>157</v>
      </c>
      <c r="G9" s="228"/>
      <c r="H9" s="227"/>
      <c r="I9" s="229" t="s">
        <v>175</v>
      </c>
      <c r="J9" s="230"/>
      <c r="K9" s="229"/>
      <c r="L9" s="229"/>
      <c r="M9" s="229"/>
      <c r="N9" s="229" t="s">
        <v>224</v>
      </c>
      <c r="O9" s="229" t="s">
        <v>172</v>
      </c>
      <c r="P9" s="229"/>
      <c r="Q9" s="229"/>
      <c r="R9" s="231"/>
    </row>
    <row r="10" spans="1:18" x14ac:dyDescent="0.15">
      <c r="A10" s="227" t="s">
        <v>237</v>
      </c>
      <c r="B10" s="228">
        <v>43188</v>
      </c>
      <c r="C10" s="227" t="s">
        <v>220</v>
      </c>
      <c r="D10" s="227" t="s">
        <v>220</v>
      </c>
      <c r="E10" s="227" t="s">
        <v>221</v>
      </c>
      <c r="F10" s="227" t="s">
        <v>218</v>
      </c>
      <c r="G10" s="228"/>
      <c r="H10" s="227"/>
      <c r="I10" s="229" t="s">
        <v>175</v>
      </c>
      <c r="J10" s="230"/>
      <c r="K10" s="229"/>
      <c r="L10" s="229"/>
      <c r="M10" s="229"/>
      <c r="N10" s="229" t="s">
        <v>224</v>
      </c>
      <c r="O10" s="229" t="s">
        <v>172</v>
      </c>
      <c r="P10" s="229"/>
      <c r="Q10" s="229"/>
      <c r="R10" s="231"/>
    </row>
    <row r="11" spans="1:18" ht="13.5" customHeight="1" x14ac:dyDescent="0.15">
      <c r="A11" s="227" t="s">
        <v>237</v>
      </c>
      <c r="B11" s="228">
        <v>43192</v>
      </c>
      <c r="C11" s="227" t="s">
        <v>216</v>
      </c>
      <c r="D11" s="227" t="s">
        <v>216</v>
      </c>
      <c r="E11" s="227" t="s">
        <v>219</v>
      </c>
      <c r="F11" s="227" t="s">
        <v>218</v>
      </c>
      <c r="G11" s="228"/>
      <c r="H11" s="227"/>
      <c r="I11" s="229" t="s">
        <v>175</v>
      </c>
      <c r="J11" s="230"/>
      <c r="K11" s="229"/>
      <c r="L11" s="229"/>
      <c r="M11" s="229"/>
      <c r="N11" s="229" t="s">
        <v>241</v>
      </c>
      <c r="O11" s="229" t="s">
        <v>172</v>
      </c>
      <c r="P11" s="229"/>
      <c r="Q11" s="229"/>
      <c r="R11" s="231"/>
    </row>
    <row r="12" spans="1:18" ht="13.5" customHeight="1" x14ac:dyDescent="0.15">
      <c r="A12" s="227" t="s">
        <v>237</v>
      </c>
      <c r="B12" s="228">
        <v>43199</v>
      </c>
      <c r="C12" s="227" t="s">
        <v>217</v>
      </c>
      <c r="D12" s="227" t="s">
        <v>217</v>
      </c>
      <c r="E12" s="232" t="s">
        <v>336</v>
      </c>
      <c r="F12" s="232" t="s">
        <v>218</v>
      </c>
      <c r="G12" s="228"/>
      <c r="H12" s="227"/>
      <c r="I12" s="229" t="s">
        <v>175</v>
      </c>
      <c r="J12" s="230"/>
      <c r="K12" s="229"/>
      <c r="L12" s="229"/>
      <c r="M12" s="229"/>
      <c r="N12" s="229" t="s">
        <v>224</v>
      </c>
      <c r="O12" s="229" t="s">
        <v>172</v>
      </c>
      <c r="P12" s="229"/>
      <c r="Q12" s="229"/>
      <c r="R12" s="231"/>
    </row>
    <row r="13" spans="1:18" x14ac:dyDescent="0.15">
      <c r="A13" s="227" t="s">
        <v>237</v>
      </c>
      <c r="B13" s="228">
        <v>43203</v>
      </c>
      <c r="C13" s="227" t="s">
        <v>222</v>
      </c>
      <c r="D13" s="227" t="s">
        <v>222</v>
      </c>
      <c r="E13" s="232" t="s">
        <v>214</v>
      </c>
      <c r="F13" s="232" t="s">
        <v>157</v>
      </c>
      <c r="G13" s="228"/>
      <c r="H13" s="227"/>
      <c r="I13" s="229" t="s">
        <v>175</v>
      </c>
      <c r="J13" s="230"/>
      <c r="K13" s="229"/>
      <c r="L13" s="229"/>
      <c r="M13" s="229"/>
      <c r="N13" s="229" t="s">
        <v>224</v>
      </c>
      <c r="O13" s="229" t="s">
        <v>172</v>
      </c>
      <c r="P13" s="229"/>
      <c r="Q13" s="229"/>
      <c r="R13" s="231"/>
    </row>
    <row r="14" spans="1:18" ht="12.75" x14ac:dyDescent="0.15">
      <c r="A14" s="233" t="s">
        <v>237</v>
      </c>
      <c r="B14" s="228">
        <v>43270</v>
      </c>
      <c r="C14" s="227" t="s">
        <v>251</v>
      </c>
      <c r="D14" s="227" t="s">
        <v>251</v>
      </c>
      <c r="E14" s="232"/>
      <c r="F14" s="232"/>
      <c r="G14" s="228"/>
      <c r="H14" s="227"/>
      <c r="I14" s="229" t="s">
        <v>175</v>
      </c>
      <c r="J14" s="230"/>
      <c r="K14" s="229"/>
      <c r="L14" s="229"/>
      <c r="M14" s="229"/>
      <c r="N14" s="229" t="s">
        <v>248</v>
      </c>
      <c r="O14" s="229" t="s">
        <v>337</v>
      </c>
      <c r="P14" s="229"/>
      <c r="Q14" s="229"/>
      <c r="R14" s="231"/>
    </row>
    <row r="15" spans="1:18" x14ac:dyDescent="0.15">
      <c r="A15" s="227" t="s">
        <v>258</v>
      </c>
      <c r="B15" s="228">
        <v>43239</v>
      </c>
      <c r="C15" s="234" t="s">
        <v>255</v>
      </c>
      <c r="D15" s="227" t="s">
        <v>256</v>
      </c>
      <c r="E15" s="232" t="s">
        <v>338</v>
      </c>
      <c r="F15" s="232" t="s">
        <v>339</v>
      </c>
      <c r="G15" s="228"/>
      <c r="H15" s="227"/>
      <c r="I15" s="229" t="s">
        <v>175</v>
      </c>
      <c r="J15" s="230"/>
      <c r="K15" s="229"/>
      <c r="L15" s="229"/>
      <c r="M15" s="229"/>
      <c r="N15" s="229" t="s">
        <v>252</v>
      </c>
      <c r="O15" s="229" t="s">
        <v>337</v>
      </c>
      <c r="P15" s="229"/>
      <c r="Q15" s="229"/>
      <c r="R15" s="231"/>
    </row>
    <row r="16" spans="1:18" ht="13.5" customHeight="1" x14ac:dyDescent="0.15">
      <c r="A16" s="227" t="s">
        <v>264</v>
      </c>
      <c r="B16" s="228">
        <v>43391</v>
      </c>
      <c r="C16" s="227" t="s">
        <v>263</v>
      </c>
      <c r="D16" s="227" t="s">
        <v>343</v>
      </c>
      <c r="E16" s="232" t="s">
        <v>340</v>
      </c>
      <c r="F16" s="232" t="s">
        <v>339</v>
      </c>
      <c r="G16" s="228"/>
      <c r="H16" s="227"/>
      <c r="I16" s="229" t="s">
        <v>175</v>
      </c>
      <c r="J16" s="230"/>
      <c r="K16" s="229"/>
      <c r="L16" s="229"/>
      <c r="M16" s="229"/>
      <c r="N16" s="229" t="s">
        <v>266</v>
      </c>
      <c r="O16" s="229" t="s">
        <v>274</v>
      </c>
      <c r="P16" s="229"/>
      <c r="Q16" s="229"/>
      <c r="R16" s="231">
        <v>10900</v>
      </c>
    </row>
    <row r="17" spans="1:18" ht="13.5" customHeight="1" x14ac:dyDescent="0.15">
      <c r="A17" s="227" t="s">
        <v>269</v>
      </c>
      <c r="B17" s="228">
        <v>43347</v>
      </c>
      <c r="C17" s="227" t="s">
        <v>271</v>
      </c>
      <c r="D17" s="227" t="s">
        <v>271</v>
      </c>
      <c r="E17" s="232" t="s">
        <v>341</v>
      </c>
      <c r="F17" s="232" t="s">
        <v>339</v>
      </c>
      <c r="G17" s="228"/>
      <c r="H17" s="227"/>
      <c r="I17" s="229" t="s">
        <v>175</v>
      </c>
      <c r="J17" s="230"/>
      <c r="K17" s="229"/>
      <c r="L17" s="229"/>
      <c r="M17" s="229"/>
      <c r="N17" s="229" t="s">
        <v>266</v>
      </c>
      <c r="O17" s="229" t="s">
        <v>337</v>
      </c>
      <c r="P17" s="229"/>
      <c r="Q17" s="229" t="s">
        <v>276</v>
      </c>
      <c r="R17" s="231"/>
    </row>
    <row r="18" spans="1:18" ht="13.5" customHeight="1" x14ac:dyDescent="0.15">
      <c r="A18" s="227" t="s">
        <v>352</v>
      </c>
      <c r="B18" s="228"/>
      <c r="C18" s="227" t="s">
        <v>342</v>
      </c>
      <c r="D18" s="227" t="s">
        <v>342</v>
      </c>
      <c r="E18" s="227" t="s">
        <v>277</v>
      </c>
      <c r="F18" s="227" t="s">
        <v>278</v>
      </c>
      <c r="G18" s="228"/>
      <c r="H18" s="227"/>
      <c r="I18" s="229" t="s">
        <v>175</v>
      </c>
      <c r="J18" s="230"/>
      <c r="K18" s="229"/>
      <c r="L18" s="229"/>
      <c r="M18" s="229"/>
      <c r="N18" s="229" t="s">
        <v>358</v>
      </c>
      <c r="O18" s="229" t="s">
        <v>274</v>
      </c>
      <c r="P18" s="229"/>
      <c r="Q18" s="229"/>
      <c r="R18" s="231">
        <v>32800</v>
      </c>
    </row>
    <row r="19" spans="1:18" ht="13.5" customHeight="1" x14ac:dyDescent="0.15">
      <c r="A19" s="227" t="s">
        <v>350</v>
      </c>
      <c r="B19" s="228"/>
      <c r="C19" s="227" t="s">
        <v>346</v>
      </c>
      <c r="D19" s="227" t="s">
        <v>346</v>
      </c>
      <c r="E19" s="232" t="s">
        <v>347</v>
      </c>
      <c r="F19" s="232" t="s">
        <v>348</v>
      </c>
      <c r="G19" s="228"/>
      <c r="H19" s="227"/>
      <c r="I19" s="229" t="s">
        <v>175</v>
      </c>
      <c r="J19" s="230"/>
      <c r="K19" s="229"/>
      <c r="L19" s="229"/>
      <c r="M19" s="229"/>
      <c r="N19" s="229" t="s">
        <v>358</v>
      </c>
      <c r="O19" s="229" t="s">
        <v>274</v>
      </c>
      <c r="P19" s="229"/>
      <c r="Q19" s="229" t="s">
        <v>351</v>
      </c>
      <c r="R19" s="231">
        <v>31300</v>
      </c>
    </row>
    <row r="20" spans="1:18" ht="13.5" customHeight="1" x14ac:dyDescent="0.15">
      <c r="A20" s="227"/>
      <c r="B20" s="228"/>
      <c r="C20" s="227" t="s">
        <v>349</v>
      </c>
      <c r="D20" s="227" t="s">
        <v>349</v>
      </c>
      <c r="E20" s="232" t="s">
        <v>347</v>
      </c>
      <c r="F20" s="232" t="s">
        <v>348</v>
      </c>
      <c r="G20" s="228"/>
      <c r="H20" s="227"/>
      <c r="I20" s="229" t="s">
        <v>175</v>
      </c>
      <c r="J20" s="230"/>
      <c r="K20" s="229"/>
      <c r="L20" s="229"/>
      <c r="M20" s="229"/>
      <c r="N20" s="229" t="s">
        <v>358</v>
      </c>
      <c r="O20" s="229" t="s">
        <v>274</v>
      </c>
      <c r="P20" s="229"/>
      <c r="Q20" s="229"/>
      <c r="R20" s="231"/>
    </row>
    <row r="21" spans="1:18" ht="13.5" customHeight="1" x14ac:dyDescent="0.15">
      <c r="A21" s="227" t="s">
        <v>382</v>
      </c>
      <c r="B21" s="228"/>
      <c r="C21" s="232" t="s">
        <v>353</v>
      </c>
      <c r="D21" s="236" t="s">
        <v>353</v>
      </c>
      <c r="E21" s="232" t="s">
        <v>277</v>
      </c>
      <c r="F21" s="232" t="s">
        <v>278</v>
      </c>
      <c r="G21" s="228"/>
      <c r="H21" s="227"/>
      <c r="I21" s="229" t="s">
        <v>175</v>
      </c>
      <c r="J21" s="230"/>
      <c r="K21" s="229"/>
      <c r="L21" s="229"/>
      <c r="M21" s="229"/>
      <c r="N21" s="229" t="s">
        <v>358</v>
      </c>
      <c r="O21" s="229" t="s">
        <v>274</v>
      </c>
      <c r="P21" s="229"/>
      <c r="Q21" s="229" t="s">
        <v>356</v>
      </c>
      <c r="R21" s="231"/>
    </row>
    <row r="22" spans="1:18" ht="13.5" customHeight="1" x14ac:dyDescent="0.15">
      <c r="A22" s="227"/>
      <c r="B22" s="228"/>
      <c r="C22" s="227" t="s">
        <v>354</v>
      </c>
      <c r="D22" s="227" t="s">
        <v>354</v>
      </c>
      <c r="E22" s="232" t="s">
        <v>277</v>
      </c>
      <c r="F22" s="232" t="s">
        <v>278</v>
      </c>
      <c r="G22" s="228"/>
      <c r="H22" s="227"/>
      <c r="I22" s="229" t="s">
        <v>317</v>
      </c>
      <c r="J22" s="230"/>
      <c r="K22" s="229"/>
      <c r="L22" s="229"/>
      <c r="M22" s="229"/>
      <c r="N22" s="229"/>
      <c r="O22" s="229"/>
      <c r="P22" s="229"/>
      <c r="Q22" s="229" t="s">
        <v>357</v>
      </c>
      <c r="R22" s="231"/>
    </row>
    <row r="23" spans="1:18" ht="13.5" customHeight="1" x14ac:dyDescent="0.15">
      <c r="A23" s="227" t="s">
        <v>374</v>
      </c>
      <c r="B23" s="228">
        <v>43438</v>
      </c>
      <c r="C23" s="227" t="s">
        <v>355</v>
      </c>
      <c r="D23" s="227" t="s">
        <v>355</v>
      </c>
      <c r="E23" s="227" t="s">
        <v>359</v>
      </c>
      <c r="F23" s="227" t="s">
        <v>360</v>
      </c>
      <c r="G23" s="228"/>
      <c r="H23" s="227"/>
      <c r="I23" s="229" t="s">
        <v>175</v>
      </c>
      <c r="J23" s="230"/>
      <c r="K23" s="229" t="s">
        <v>380</v>
      </c>
      <c r="L23" s="229"/>
      <c r="M23" s="229"/>
      <c r="N23" s="229" t="s">
        <v>370</v>
      </c>
      <c r="O23" s="229" t="s">
        <v>371</v>
      </c>
      <c r="P23" s="229"/>
      <c r="Q23" s="237" t="s">
        <v>368</v>
      </c>
      <c r="R23" s="231"/>
    </row>
    <row r="24" spans="1:18" ht="13.5" customHeight="1" x14ac:dyDescent="0.15">
      <c r="A24" s="227"/>
      <c r="B24" s="228"/>
      <c r="C24" s="227"/>
      <c r="D24" s="227"/>
      <c r="E24" s="227"/>
      <c r="F24" s="227"/>
      <c r="G24" s="228"/>
      <c r="H24" s="227"/>
      <c r="I24" s="229"/>
      <c r="J24" s="230"/>
      <c r="K24" s="229"/>
      <c r="L24" s="229"/>
      <c r="M24" s="229"/>
      <c r="N24" s="229"/>
      <c r="O24" s="229"/>
      <c r="P24" s="229"/>
      <c r="Q24" s="229"/>
      <c r="R24" s="231"/>
    </row>
    <row r="25" spans="1:18" ht="13.5" customHeight="1" x14ac:dyDescent="0.15">
      <c r="A25" s="227"/>
      <c r="B25" s="228"/>
      <c r="C25" s="227"/>
      <c r="D25" s="227"/>
      <c r="E25" s="227"/>
      <c r="F25" s="227"/>
      <c r="G25" s="228"/>
      <c r="H25" s="227"/>
      <c r="I25" s="229"/>
      <c r="J25" s="230"/>
      <c r="K25" s="229"/>
      <c r="L25" s="229"/>
      <c r="M25" s="229"/>
      <c r="N25" s="229"/>
      <c r="O25" s="229"/>
      <c r="P25" s="229"/>
      <c r="Q25" s="229"/>
      <c r="R25" s="231"/>
    </row>
    <row r="26" spans="1:18" ht="13.5" customHeight="1" x14ac:dyDescent="0.15">
      <c r="A26" s="227"/>
      <c r="B26" s="228"/>
      <c r="C26" s="227"/>
      <c r="E26" s="227"/>
      <c r="F26" s="227"/>
      <c r="G26" s="228"/>
      <c r="H26" s="227"/>
      <c r="I26" s="229"/>
      <c r="J26" s="230"/>
      <c r="K26" s="229"/>
      <c r="L26" s="229"/>
      <c r="M26" s="229"/>
      <c r="N26" s="229"/>
      <c r="O26" s="229"/>
      <c r="P26" s="229"/>
      <c r="Q26" s="229"/>
      <c r="R26" s="231"/>
    </row>
    <row r="27" spans="1:18" x14ac:dyDescent="0.15">
      <c r="A27" s="227"/>
      <c r="B27" s="228"/>
      <c r="C27" s="227"/>
      <c r="D27" s="227"/>
      <c r="E27" s="227"/>
      <c r="F27" s="227"/>
      <c r="G27" s="235"/>
      <c r="H27" s="227"/>
      <c r="I27" s="229"/>
      <c r="J27" s="230"/>
      <c r="K27" s="229"/>
      <c r="L27" s="229"/>
      <c r="M27" s="229"/>
      <c r="N27" s="229"/>
      <c r="O27" s="229"/>
      <c r="P27" s="229"/>
      <c r="Q27" s="229"/>
      <c r="R27" s="231"/>
    </row>
    <row r="28" spans="1:18" x14ac:dyDescent="0.15">
      <c r="A28" s="227"/>
      <c r="B28" s="228"/>
      <c r="C28" s="227"/>
      <c r="D28" s="227"/>
      <c r="E28" s="232"/>
      <c r="F28" s="232"/>
      <c r="G28" s="235"/>
      <c r="H28" s="227"/>
      <c r="I28" s="229"/>
      <c r="J28" s="230"/>
      <c r="K28" s="229"/>
      <c r="L28" s="229"/>
      <c r="M28" s="229"/>
      <c r="N28" s="229"/>
      <c r="O28" s="229"/>
      <c r="P28" s="229"/>
      <c r="Q28" s="229"/>
      <c r="R28" s="231"/>
    </row>
    <row r="29" spans="1:18" x14ac:dyDescent="0.15">
      <c r="A29" s="227"/>
      <c r="B29" s="228"/>
      <c r="C29" s="227"/>
      <c r="D29" s="227"/>
      <c r="E29" s="227"/>
      <c r="F29" s="227"/>
      <c r="G29" s="228"/>
      <c r="H29" s="227"/>
      <c r="I29" s="229"/>
      <c r="J29" s="230"/>
      <c r="K29" s="229"/>
      <c r="L29" s="229"/>
      <c r="M29" s="229"/>
      <c r="N29" s="229"/>
      <c r="O29" s="229"/>
      <c r="P29" s="229"/>
      <c r="Q29" s="229"/>
      <c r="R29" s="231"/>
    </row>
    <row r="30" spans="1:18" x14ac:dyDescent="0.15">
      <c r="A30" s="227"/>
      <c r="B30" s="228"/>
      <c r="C30" s="227"/>
      <c r="D30" s="227"/>
      <c r="E30" s="227"/>
      <c r="F30" s="227"/>
      <c r="G30" s="235"/>
      <c r="H30" s="227"/>
      <c r="I30" s="229"/>
      <c r="J30" s="230"/>
      <c r="K30" s="229"/>
      <c r="L30" s="229"/>
      <c r="M30" s="229"/>
      <c r="N30" s="229"/>
      <c r="O30" s="229"/>
      <c r="P30" s="229"/>
      <c r="Q30" s="229"/>
      <c r="R30" s="231"/>
    </row>
    <row r="31" spans="1:18" x14ac:dyDescent="0.15">
      <c r="A31" s="227"/>
      <c r="B31" s="228"/>
      <c r="C31" s="227"/>
      <c r="D31" s="227"/>
      <c r="E31" s="227"/>
      <c r="F31" s="227"/>
      <c r="G31" s="235"/>
      <c r="H31" s="227"/>
      <c r="I31" s="229"/>
      <c r="J31" s="230"/>
      <c r="K31" s="229"/>
      <c r="L31" s="229"/>
      <c r="M31" s="229"/>
      <c r="N31" s="229"/>
      <c r="O31" s="229"/>
      <c r="P31" s="229"/>
      <c r="Q31" s="229"/>
      <c r="R31" s="231"/>
    </row>
    <row r="32" spans="1:18" x14ac:dyDescent="0.15">
      <c r="A32" s="227"/>
      <c r="B32" s="228"/>
      <c r="C32" s="227"/>
      <c r="D32" s="227"/>
      <c r="E32" s="227"/>
      <c r="F32" s="227"/>
      <c r="G32" s="235"/>
      <c r="H32" s="227"/>
      <c r="I32" s="229"/>
      <c r="J32" s="230"/>
      <c r="K32" s="229"/>
      <c r="L32" s="229"/>
      <c r="M32" s="229"/>
      <c r="N32" s="229"/>
      <c r="O32" s="229"/>
      <c r="P32" s="229"/>
      <c r="Q32" s="229"/>
      <c r="R32" s="231"/>
    </row>
    <row r="33" spans="1:18" x14ac:dyDescent="0.15">
      <c r="A33" s="227"/>
      <c r="B33" s="228"/>
      <c r="C33" s="227"/>
      <c r="D33" s="227"/>
      <c r="E33" s="229"/>
      <c r="F33" s="229"/>
      <c r="G33" s="228"/>
      <c r="H33" s="229"/>
      <c r="I33" s="229"/>
      <c r="J33" s="230"/>
      <c r="K33" s="229"/>
      <c r="L33" s="229"/>
      <c r="M33" s="229"/>
      <c r="N33" s="229"/>
      <c r="O33" s="229"/>
      <c r="P33" s="229"/>
      <c r="Q33" s="229"/>
      <c r="R33" s="231"/>
    </row>
    <row r="34" spans="1:18" x14ac:dyDescent="0.15">
      <c r="A34" s="227"/>
      <c r="B34" s="228"/>
      <c r="C34" s="227"/>
      <c r="D34" s="227"/>
      <c r="E34" s="227"/>
      <c r="F34" s="227"/>
      <c r="G34" s="228"/>
      <c r="H34" s="227"/>
      <c r="I34" s="229"/>
      <c r="J34" s="230"/>
      <c r="K34" s="229"/>
      <c r="L34" s="229"/>
      <c r="M34" s="229"/>
      <c r="N34" s="229"/>
      <c r="O34" s="229"/>
      <c r="P34" s="229"/>
      <c r="Q34" s="229"/>
      <c r="R34" s="231"/>
    </row>
    <row r="35" spans="1:18" x14ac:dyDescent="0.15">
      <c r="A35" s="227"/>
      <c r="B35" s="228"/>
      <c r="C35" s="227"/>
      <c r="D35" s="227"/>
      <c r="E35" s="227"/>
      <c r="F35" s="227"/>
      <c r="G35" s="235"/>
      <c r="H35" s="227"/>
      <c r="I35" s="229"/>
      <c r="J35" s="230"/>
      <c r="K35" s="229"/>
      <c r="L35" s="229"/>
      <c r="M35" s="229"/>
      <c r="N35" s="229"/>
      <c r="O35" s="229"/>
      <c r="P35" s="229"/>
      <c r="Q35" s="229"/>
      <c r="R35" s="231"/>
    </row>
    <row r="36" spans="1:18" x14ac:dyDescent="0.15">
      <c r="A36" s="227"/>
      <c r="B36" s="228"/>
      <c r="C36" s="227"/>
      <c r="D36" s="227"/>
      <c r="E36" s="227"/>
      <c r="F36" s="227"/>
      <c r="G36" s="235"/>
      <c r="H36" s="227"/>
      <c r="I36" s="229"/>
      <c r="J36" s="230"/>
      <c r="K36" s="229"/>
      <c r="L36" s="229"/>
      <c r="M36" s="229"/>
      <c r="N36" s="229"/>
      <c r="O36" s="229"/>
      <c r="P36" s="229"/>
      <c r="Q36" s="229"/>
      <c r="R36" s="231"/>
    </row>
    <row r="37" spans="1:18" x14ac:dyDescent="0.15">
      <c r="A37" s="227"/>
      <c r="B37" s="228"/>
      <c r="C37" s="227"/>
      <c r="D37" s="227"/>
      <c r="E37" s="227"/>
      <c r="F37" s="227"/>
      <c r="G37" s="235"/>
      <c r="H37" s="227"/>
      <c r="I37" s="229"/>
      <c r="J37" s="230"/>
      <c r="K37" s="229"/>
      <c r="L37" s="229"/>
      <c r="M37" s="229"/>
      <c r="N37" s="229"/>
      <c r="O37" s="229"/>
      <c r="P37" s="229"/>
      <c r="Q37" s="229"/>
      <c r="R37" s="231"/>
    </row>
    <row r="38" spans="1:18" x14ac:dyDescent="0.15">
      <c r="A38" s="227"/>
      <c r="B38" s="228"/>
      <c r="C38" s="227"/>
      <c r="D38" s="227"/>
      <c r="E38" s="227"/>
      <c r="F38" s="227"/>
      <c r="G38" s="235"/>
      <c r="H38" s="227"/>
      <c r="I38" s="229"/>
      <c r="J38" s="230"/>
      <c r="K38" s="229"/>
      <c r="L38" s="229"/>
      <c r="M38" s="229"/>
      <c r="N38" s="229"/>
      <c r="O38" s="229"/>
      <c r="P38" s="229"/>
      <c r="Q38" s="229"/>
      <c r="R38" s="231"/>
    </row>
    <row r="39" spans="1:18" x14ac:dyDescent="0.15">
      <c r="A39" s="229"/>
      <c r="B39" s="229"/>
      <c r="C39" s="229"/>
      <c r="D39" s="229"/>
      <c r="E39" s="227"/>
      <c r="F39" s="227"/>
      <c r="G39" s="235"/>
      <c r="H39" s="227"/>
      <c r="I39" s="229"/>
      <c r="J39" s="230"/>
      <c r="K39" s="229"/>
      <c r="L39" s="229"/>
      <c r="M39" s="229"/>
      <c r="N39" s="229"/>
      <c r="O39" s="229"/>
      <c r="P39" s="229"/>
      <c r="Q39" s="229"/>
      <c r="R39" s="231"/>
    </row>
    <row r="40" spans="1:18" x14ac:dyDescent="0.15">
      <c r="A40" s="229"/>
      <c r="B40" s="229"/>
      <c r="C40" s="229"/>
      <c r="D40" s="229"/>
      <c r="E40" s="227"/>
      <c r="F40" s="227"/>
      <c r="G40" s="235"/>
      <c r="H40" s="227"/>
      <c r="I40" s="229"/>
      <c r="J40" s="230"/>
      <c r="K40" s="229"/>
      <c r="L40" s="229"/>
      <c r="M40" s="229"/>
      <c r="N40" s="229"/>
      <c r="O40" s="229"/>
      <c r="P40" s="229"/>
      <c r="Q40" s="229"/>
      <c r="R40" s="231"/>
    </row>
    <row r="41" spans="1:18" x14ac:dyDescent="0.15">
      <c r="A41" s="229"/>
      <c r="B41" s="229"/>
      <c r="C41" s="229"/>
      <c r="D41" s="229"/>
      <c r="E41" s="229"/>
      <c r="F41" s="229"/>
      <c r="G41" s="235"/>
      <c r="H41" s="229"/>
      <c r="I41" s="229"/>
      <c r="J41" s="229"/>
      <c r="K41" s="229"/>
      <c r="L41" s="229"/>
      <c r="M41" s="229"/>
      <c r="N41" s="229"/>
      <c r="O41" s="229"/>
      <c r="P41" s="229"/>
      <c r="Q41" s="229"/>
      <c r="R41" s="231"/>
    </row>
    <row r="42" spans="1:18" x14ac:dyDescent="0.15">
      <c r="A42" s="229"/>
      <c r="B42" s="229"/>
      <c r="C42" s="229"/>
      <c r="D42" s="229"/>
      <c r="E42" s="229"/>
      <c r="F42" s="229"/>
      <c r="G42" s="235"/>
      <c r="H42" s="229"/>
      <c r="I42" s="229"/>
      <c r="J42" s="230"/>
      <c r="K42" s="229"/>
      <c r="L42" s="229"/>
      <c r="M42" s="229"/>
      <c r="N42" s="229"/>
      <c r="O42" s="229"/>
      <c r="P42" s="229"/>
      <c r="Q42" s="229"/>
      <c r="R42" s="231"/>
    </row>
    <row r="43" spans="1:18" x14ac:dyDescent="0.15">
      <c r="A43" s="229"/>
      <c r="B43" s="229"/>
      <c r="C43" s="229"/>
      <c r="D43" s="229"/>
      <c r="E43" s="229"/>
      <c r="F43" s="229"/>
      <c r="G43" s="235"/>
      <c r="H43" s="229"/>
      <c r="I43" s="229"/>
      <c r="J43" s="230"/>
      <c r="K43" s="229"/>
      <c r="L43" s="229"/>
      <c r="M43" s="229"/>
      <c r="N43" s="229"/>
      <c r="O43" s="229"/>
      <c r="P43" s="229"/>
      <c r="Q43" s="229"/>
      <c r="R43" s="231"/>
    </row>
    <row r="44" spans="1:18" x14ac:dyDescent="0.15">
      <c r="A44" s="229"/>
      <c r="B44" s="229"/>
      <c r="C44" s="229"/>
      <c r="D44" s="229"/>
      <c r="E44" s="229"/>
      <c r="F44" s="229"/>
      <c r="G44" s="235"/>
      <c r="H44" s="229"/>
      <c r="I44" s="229"/>
      <c r="J44" s="230"/>
      <c r="K44" s="229"/>
      <c r="L44" s="229"/>
      <c r="M44" s="229"/>
      <c r="N44" s="229"/>
      <c r="O44" s="229"/>
      <c r="P44" s="229"/>
      <c r="Q44" s="229"/>
      <c r="R44" s="231"/>
    </row>
    <row r="45" spans="1:18" x14ac:dyDescent="0.15">
      <c r="A45" s="229"/>
      <c r="B45" s="229"/>
      <c r="C45" s="229"/>
      <c r="D45" s="229"/>
      <c r="E45" s="229"/>
      <c r="F45" s="229"/>
      <c r="G45" s="235"/>
      <c r="H45" s="229"/>
      <c r="I45" s="229"/>
      <c r="J45" s="230"/>
      <c r="K45" s="229"/>
      <c r="L45" s="229"/>
      <c r="M45" s="229"/>
      <c r="N45" s="229"/>
      <c r="O45" s="229"/>
      <c r="P45" s="229"/>
      <c r="Q45" s="229"/>
      <c r="R45" s="231"/>
    </row>
    <row r="46" spans="1:18" x14ac:dyDescent="0.15">
      <c r="A46" s="229"/>
      <c r="B46" s="229"/>
      <c r="C46" s="229"/>
      <c r="D46" s="229"/>
      <c r="E46" s="229"/>
      <c r="F46" s="229"/>
      <c r="G46" s="235"/>
      <c r="H46" s="229"/>
      <c r="I46" s="229"/>
      <c r="J46" s="230"/>
      <c r="K46" s="229"/>
      <c r="L46" s="229"/>
      <c r="M46" s="229"/>
      <c r="N46" s="229"/>
      <c r="O46" s="229"/>
      <c r="P46" s="229"/>
      <c r="Q46" s="229"/>
      <c r="R46" s="231"/>
    </row>
    <row r="47" spans="1:18" x14ac:dyDescent="0.15">
      <c r="A47" s="229"/>
      <c r="B47" s="229"/>
      <c r="C47" s="229"/>
      <c r="D47" s="229"/>
      <c r="E47" s="229"/>
      <c r="F47" s="229"/>
      <c r="G47" s="235"/>
      <c r="H47" s="229"/>
      <c r="I47" s="229"/>
      <c r="J47" s="230"/>
      <c r="K47" s="229"/>
      <c r="L47" s="229"/>
      <c r="M47" s="229"/>
      <c r="N47" s="229"/>
      <c r="O47" s="229"/>
      <c r="P47" s="229"/>
      <c r="Q47" s="229"/>
      <c r="R47" s="231"/>
    </row>
    <row r="48" spans="1:18" x14ac:dyDescent="0.15">
      <c r="A48" s="229"/>
      <c r="B48" s="229"/>
      <c r="C48" s="229"/>
      <c r="D48" s="229"/>
      <c r="E48" s="229"/>
      <c r="F48" s="229"/>
      <c r="G48" s="229"/>
      <c r="H48" s="229"/>
      <c r="I48" s="229"/>
      <c r="J48" s="229"/>
      <c r="K48" s="229"/>
      <c r="L48" s="229"/>
      <c r="M48" s="229"/>
      <c r="N48" s="229"/>
      <c r="O48" s="229"/>
      <c r="P48" s="229"/>
      <c r="Q48" s="229"/>
      <c r="R48" s="231"/>
    </row>
    <row r="49" spans="1:18" x14ac:dyDescent="0.15">
      <c r="A49" s="229"/>
      <c r="B49" s="229"/>
      <c r="C49" s="229"/>
      <c r="D49" s="229"/>
      <c r="E49" s="229"/>
      <c r="F49" s="229"/>
      <c r="G49" s="229"/>
      <c r="H49" s="229"/>
      <c r="I49" s="229"/>
      <c r="J49" s="229"/>
      <c r="K49" s="229"/>
      <c r="L49" s="229"/>
      <c r="M49" s="229"/>
      <c r="N49" s="229"/>
      <c r="O49" s="229"/>
      <c r="P49" s="229"/>
      <c r="Q49" s="229"/>
      <c r="R49" s="231"/>
    </row>
    <row r="50" spans="1:18" x14ac:dyDescent="0.15">
      <c r="A50" s="229"/>
      <c r="B50" s="229"/>
      <c r="C50" s="229"/>
      <c r="D50" s="229"/>
      <c r="E50" s="229"/>
      <c r="F50" s="229"/>
      <c r="G50" s="229"/>
      <c r="H50" s="229"/>
      <c r="I50" s="229"/>
      <c r="J50" s="229"/>
      <c r="K50" s="229"/>
      <c r="L50" s="229"/>
      <c r="M50" s="229"/>
      <c r="N50" s="229"/>
      <c r="O50" s="229"/>
      <c r="P50" s="229"/>
      <c r="Q50" s="229"/>
      <c r="R50" s="231"/>
    </row>
    <row r="51" spans="1:18" x14ac:dyDescent="0.15">
      <c r="A51" s="229"/>
      <c r="B51" s="229"/>
      <c r="C51" s="229"/>
      <c r="D51" s="229"/>
      <c r="E51" s="229"/>
      <c r="F51" s="229"/>
      <c r="G51" s="229"/>
      <c r="H51" s="229"/>
      <c r="I51" s="229"/>
      <c r="J51" s="229"/>
      <c r="K51" s="229"/>
      <c r="L51" s="229"/>
      <c r="M51" s="229"/>
      <c r="N51" s="229"/>
      <c r="O51" s="229"/>
      <c r="P51" s="229"/>
      <c r="Q51" s="229"/>
      <c r="R51" s="231"/>
    </row>
    <row r="52" spans="1:18" x14ac:dyDescent="0.15">
      <c r="A52" s="229"/>
      <c r="B52" s="229"/>
      <c r="C52" s="229"/>
      <c r="D52" s="229"/>
      <c r="E52" s="229"/>
      <c r="F52" s="229"/>
      <c r="G52" s="229"/>
      <c r="H52" s="229"/>
      <c r="I52" s="229"/>
      <c r="J52" s="229"/>
      <c r="K52" s="229"/>
      <c r="L52" s="229"/>
      <c r="M52" s="229"/>
      <c r="N52" s="229"/>
      <c r="O52" s="229"/>
      <c r="P52" s="229"/>
      <c r="Q52" s="229"/>
      <c r="R52" s="231"/>
    </row>
    <row r="53" spans="1:18" x14ac:dyDescent="0.15">
      <c r="A53" s="229"/>
      <c r="B53" s="229"/>
      <c r="C53" s="229"/>
      <c r="D53" s="229"/>
      <c r="E53" s="229"/>
      <c r="F53" s="229"/>
      <c r="G53" s="229"/>
      <c r="H53" s="229"/>
      <c r="I53" s="229"/>
      <c r="J53" s="229"/>
      <c r="K53" s="229"/>
      <c r="L53" s="229"/>
      <c r="M53" s="229"/>
      <c r="N53" s="229"/>
      <c r="O53" s="229"/>
      <c r="P53" s="229"/>
      <c r="Q53" s="229"/>
      <c r="R53" s="231"/>
    </row>
    <row r="54" spans="1:18" x14ac:dyDescent="0.15">
      <c r="A54" s="229"/>
      <c r="B54" s="229"/>
      <c r="C54" s="229"/>
      <c r="D54" s="229"/>
      <c r="E54" s="229"/>
      <c r="F54" s="229"/>
      <c r="G54" s="229"/>
      <c r="H54" s="229"/>
      <c r="I54" s="229"/>
      <c r="J54" s="229"/>
      <c r="K54" s="229"/>
      <c r="L54" s="229"/>
      <c r="M54" s="229"/>
      <c r="N54" s="229"/>
      <c r="O54" s="229"/>
      <c r="P54" s="229"/>
      <c r="Q54" s="229"/>
      <c r="R54" s="231"/>
    </row>
    <row r="55" spans="1:18" x14ac:dyDescent="0.15">
      <c r="A55" s="229"/>
      <c r="B55" s="229"/>
      <c r="C55" s="229"/>
      <c r="D55" s="229"/>
      <c r="E55" s="229"/>
      <c r="F55" s="229"/>
      <c r="G55" s="229"/>
      <c r="H55" s="229"/>
      <c r="I55" s="229"/>
      <c r="J55" s="229"/>
      <c r="K55" s="229"/>
      <c r="L55" s="229"/>
      <c r="M55" s="229"/>
      <c r="N55" s="229"/>
      <c r="O55" s="229"/>
      <c r="P55" s="229"/>
      <c r="Q55" s="229"/>
      <c r="R55" s="231"/>
    </row>
    <row r="56" spans="1:18" x14ac:dyDescent="0.15">
      <c r="A56" s="229"/>
      <c r="B56" s="229"/>
      <c r="C56" s="229"/>
      <c r="D56" s="229"/>
      <c r="E56" s="229"/>
      <c r="F56" s="229"/>
      <c r="G56" s="229"/>
      <c r="H56" s="229"/>
      <c r="I56" s="229"/>
      <c r="J56" s="229"/>
      <c r="K56" s="229"/>
      <c r="L56" s="229"/>
      <c r="M56" s="229"/>
      <c r="N56" s="229"/>
      <c r="O56" s="229"/>
      <c r="P56" s="229"/>
      <c r="Q56" s="229"/>
      <c r="R56" s="231"/>
    </row>
    <row r="57" spans="1:18" x14ac:dyDescent="0.15">
      <c r="A57" s="229"/>
      <c r="B57" s="229"/>
      <c r="C57" s="229"/>
      <c r="D57" s="229"/>
      <c r="E57" s="229"/>
      <c r="F57" s="229"/>
      <c r="G57" s="229"/>
      <c r="H57" s="229"/>
      <c r="I57" s="229"/>
      <c r="J57" s="229"/>
      <c r="K57" s="229"/>
      <c r="L57" s="229"/>
      <c r="M57" s="229"/>
      <c r="N57" s="229"/>
      <c r="O57" s="229"/>
      <c r="P57" s="229"/>
      <c r="Q57" s="229"/>
      <c r="R57" s="231"/>
    </row>
    <row r="58" spans="1:18" x14ac:dyDescent="0.15">
      <c r="A58" s="229"/>
      <c r="B58" s="229"/>
      <c r="C58" s="229"/>
      <c r="D58" s="229"/>
      <c r="E58" s="229"/>
      <c r="F58" s="229"/>
      <c r="G58" s="229"/>
      <c r="H58" s="229"/>
      <c r="I58" s="229"/>
      <c r="J58" s="229"/>
      <c r="K58" s="229"/>
      <c r="L58" s="229"/>
      <c r="M58" s="229"/>
      <c r="N58" s="229"/>
      <c r="O58" s="229"/>
      <c r="P58" s="229"/>
      <c r="Q58" s="229"/>
      <c r="R58" s="231"/>
    </row>
    <row r="59" spans="1:18" x14ac:dyDescent="0.15">
      <c r="A59" s="229"/>
      <c r="B59" s="229"/>
      <c r="C59" s="229"/>
      <c r="D59" s="229"/>
      <c r="E59" s="229"/>
      <c r="F59" s="229"/>
      <c r="G59" s="229"/>
      <c r="H59" s="229"/>
      <c r="I59" s="229"/>
      <c r="J59" s="229"/>
      <c r="K59" s="229"/>
      <c r="L59" s="229"/>
      <c r="M59" s="229"/>
      <c r="N59" s="229"/>
      <c r="O59" s="229"/>
      <c r="P59" s="229"/>
      <c r="Q59" s="229"/>
      <c r="R59" s="231"/>
    </row>
    <row r="60" spans="1:18" x14ac:dyDescent="0.15">
      <c r="A60" s="229"/>
      <c r="B60" s="229"/>
      <c r="C60" s="229"/>
      <c r="D60" s="229"/>
      <c r="E60" s="229"/>
      <c r="F60" s="229"/>
      <c r="G60" s="229"/>
      <c r="H60" s="229"/>
      <c r="I60" s="229"/>
      <c r="J60" s="229"/>
      <c r="K60" s="229"/>
      <c r="L60" s="229"/>
      <c r="M60" s="229"/>
      <c r="N60" s="229"/>
      <c r="O60" s="229"/>
      <c r="P60" s="229"/>
      <c r="Q60" s="229"/>
      <c r="R60" s="231"/>
    </row>
    <row r="61" spans="1:18" x14ac:dyDescent="0.15">
      <c r="A61" s="229"/>
      <c r="B61" s="229"/>
      <c r="C61" s="229"/>
      <c r="D61" s="229"/>
      <c r="E61" s="229"/>
      <c r="F61" s="229"/>
      <c r="G61" s="229"/>
      <c r="H61" s="229"/>
      <c r="I61" s="229"/>
      <c r="J61" s="229"/>
      <c r="K61" s="229"/>
      <c r="L61" s="229"/>
      <c r="M61" s="229"/>
      <c r="N61" s="229"/>
      <c r="O61" s="229"/>
      <c r="P61" s="229"/>
      <c r="Q61" s="229"/>
      <c r="R61" s="231"/>
    </row>
    <row r="62" spans="1:18" x14ac:dyDescent="0.15">
      <c r="A62" s="229"/>
      <c r="B62" s="229"/>
      <c r="C62" s="229"/>
      <c r="D62" s="229"/>
      <c r="E62" s="229"/>
      <c r="F62" s="229"/>
      <c r="G62" s="229"/>
      <c r="H62" s="229"/>
      <c r="I62" s="229"/>
      <c r="J62" s="229"/>
      <c r="K62" s="229"/>
      <c r="L62" s="229"/>
      <c r="M62" s="229"/>
      <c r="N62" s="229"/>
      <c r="O62" s="229"/>
      <c r="P62" s="229"/>
      <c r="Q62" s="229"/>
      <c r="R62" s="231"/>
    </row>
    <row r="63" spans="1:18" x14ac:dyDescent="0.15">
      <c r="A63" s="229"/>
      <c r="B63" s="229"/>
      <c r="C63" s="229"/>
      <c r="D63" s="229"/>
      <c r="E63" s="229"/>
      <c r="F63" s="229"/>
      <c r="G63" s="229"/>
      <c r="H63" s="229"/>
      <c r="I63" s="229"/>
      <c r="J63" s="229"/>
      <c r="K63" s="229"/>
      <c r="L63" s="229"/>
      <c r="M63" s="229"/>
      <c r="N63" s="229"/>
      <c r="O63" s="229"/>
      <c r="P63" s="229"/>
      <c r="Q63" s="229"/>
      <c r="R63" s="231"/>
    </row>
    <row r="64" spans="1:18" x14ac:dyDescent="0.15">
      <c r="A64" s="229"/>
      <c r="B64" s="229"/>
      <c r="C64" s="229"/>
      <c r="D64" s="229"/>
      <c r="E64" s="229"/>
      <c r="F64" s="229"/>
      <c r="G64" s="229"/>
      <c r="H64" s="229"/>
      <c r="I64" s="229"/>
      <c r="J64" s="229"/>
      <c r="K64" s="229"/>
      <c r="L64" s="229"/>
      <c r="M64" s="229"/>
      <c r="N64" s="229"/>
      <c r="O64" s="229"/>
      <c r="P64" s="229"/>
      <c r="Q64" s="229"/>
      <c r="R64" s="231"/>
    </row>
    <row r="65" spans="1:18" x14ac:dyDescent="0.15">
      <c r="A65" s="229"/>
      <c r="B65" s="229"/>
      <c r="C65" s="229"/>
      <c r="D65" s="229"/>
      <c r="E65" s="229"/>
      <c r="F65" s="229"/>
      <c r="G65" s="229"/>
      <c r="H65" s="229"/>
      <c r="I65" s="229"/>
      <c r="J65" s="229"/>
      <c r="K65" s="229"/>
      <c r="L65" s="229"/>
      <c r="M65" s="229"/>
      <c r="N65" s="229"/>
      <c r="O65" s="229"/>
      <c r="P65" s="229"/>
      <c r="Q65" s="229"/>
      <c r="R65" s="231"/>
    </row>
  </sheetData>
  <mergeCells count="2">
    <mergeCell ref="A1:C1"/>
    <mergeCell ref="A2:C2"/>
  </mergeCells>
  <phoneticPr fontId="1" type="noConversion"/>
  <dataValidations count="5">
    <dataValidation type="list" allowBlank="1" showInputMessage="1" showErrorMessage="1" sqref="P37:P38 O39:O40 O27:O36 O25 N23:O23 N4:N22 N24:N47" xr:uid="{00000000-0002-0000-0400-000000000000}">
      <formula1>版本名称</formula1>
    </dataValidation>
    <dataValidation type="list" allowBlank="1" showInputMessage="1" showErrorMessage="1" sqref="H4:H32 H34:H40" xr:uid="{00000000-0002-0000-0400-000001000000}">
      <formula1>"是,否"</formula1>
    </dataValidation>
    <dataValidation type="list" allowBlank="1" showInputMessage="1" showErrorMessage="1" sqref="H33" xr:uid="{00000000-0002-0000-0400-000002000000}">
      <formula1>"已审核,已排期,已上线"</formula1>
    </dataValidation>
    <dataValidation type="list" allowBlank="1" showInputMessage="1" showErrorMessage="1" sqref="J4:J40 J42:J47" xr:uid="{00000000-0002-0000-0400-000003000000}">
      <formula1>"高,中,低"</formula1>
    </dataValidation>
    <dataValidation type="list" allowBlank="1" showInputMessage="1" showErrorMessage="1" sqref="I4:I65" xr:uid="{00000000-0002-0000-0400-000004000000}">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R85"/>
  <sheetViews>
    <sheetView topLeftCell="D3" workbookViewId="0">
      <selection activeCell="O11" sqref="O11"/>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270" t="s">
        <v>40</v>
      </c>
      <c r="B1" s="270"/>
      <c r="C1" s="270"/>
      <c r="D1" s="33"/>
    </row>
    <row r="2" spans="1:18" ht="24" hidden="1" customHeight="1" x14ac:dyDescent="0.2">
      <c r="A2" s="32" t="s">
        <v>50</v>
      </c>
      <c r="B2" s="30"/>
      <c r="L2" s="10"/>
      <c r="O2" s="31"/>
    </row>
    <row r="3" spans="1:18" ht="14.25" customHeight="1" x14ac:dyDescent="0.2">
      <c r="A3" s="271" t="s">
        <v>55</v>
      </c>
      <c r="B3" s="271"/>
      <c r="C3" s="271"/>
      <c r="D3" s="34"/>
    </row>
    <row r="4" spans="1:18" s="10" customFormat="1" ht="24.75" x14ac:dyDescent="0.2">
      <c r="A4" s="17" t="s">
        <v>51</v>
      </c>
      <c r="B4" s="17" t="s">
        <v>52</v>
      </c>
      <c r="C4" s="17" t="s">
        <v>54</v>
      </c>
      <c r="D4" s="17" t="s">
        <v>113</v>
      </c>
      <c r="E4" s="17" t="s">
        <v>114</v>
      </c>
      <c r="F4" s="56"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245</v>
      </c>
      <c r="B5" s="26">
        <v>43217</v>
      </c>
      <c r="C5" s="111" t="s">
        <v>243</v>
      </c>
      <c r="D5" s="21"/>
      <c r="E5" s="21" t="s">
        <v>319</v>
      </c>
      <c r="F5" s="21" t="s">
        <v>320</v>
      </c>
      <c r="G5" s="54"/>
      <c r="H5" s="22"/>
      <c r="I5" s="48"/>
      <c r="J5" s="22" t="s">
        <v>321</v>
      </c>
      <c r="K5" s="22"/>
      <c r="L5" s="9"/>
      <c r="M5" s="9" t="s">
        <v>241</v>
      </c>
      <c r="N5" s="112" t="s">
        <v>242</v>
      </c>
      <c r="O5" s="22"/>
      <c r="P5" s="22"/>
      <c r="Q5" s="45"/>
      <c r="R5" s="23"/>
    </row>
    <row r="6" spans="1:18" x14ac:dyDescent="0.2">
      <c r="A6" s="21" t="s">
        <v>245</v>
      </c>
      <c r="B6" s="26">
        <v>43217</v>
      </c>
      <c r="C6" s="111" t="s">
        <v>244</v>
      </c>
      <c r="D6" s="21"/>
      <c r="E6" s="165" t="s">
        <v>319</v>
      </c>
      <c r="F6" s="21" t="s">
        <v>320</v>
      </c>
      <c r="G6" s="26"/>
      <c r="H6" s="9"/>
      <c r="I6" s="48"/>
      <c r="J6" s="166" t="s">
        <v>321</v>
      </c>
      <c r="K6" s="22"/>
      <c r="L6" s="9"/>
      <c r="M6" s="164" t="s">
        <v>241</v>
      </c>
      <c r="N6" s="112" t="s">
        <v>242</v>
      </c>
      <c r="O6" s="22"/>
      <c r="P6" s="22"/>
      <c r="Q6" s="45"/>
      <c r="R6" s="23"/>
    </row>
    <row r="7" spans="1:18" s="163" customFormat="1" x14ac:dyDescent="0.2">
      <c r="A7" s="165" t="s">
        <v>245</v>
      </c>
      <c r="B7" s="168">
        <v>43392</v>
      </c>
      <c r="C7" s="28" t="s">
        <v>326</v>
      </c>
      <c r="D7" s="165"/>
      <c r="E7" s="165" t="s">
        <v>327</v>
      </c>
      <c r="F7" s="165" t="s">
        <v>328</v>
      </c>
      <c r="G7" s="172"/>
      <c r="H7" s="166"/>
      <c r="I7" s="170"/>
      <c r="J7" s="166"/>
      <c r="K7" s="166"/>
      <c r="L7" s="164"/>
      <c r="M7" s="164"/>
      <c r="N7" s="112"/>
      <c r="O7" s="166"/>
      <c r="P7" s="166"/>
      <c r="Q7" s="169"/>
      <c r="R7" s="167"/>
    </row>
    <row r="8" spans="1:18" s="163" customFormat="1" x14ac:dyDescent="0.2">
      <c r="A8" s="165"/>
      <c r="B8" s="168"/>
      <c r="C8" s="111"/>
      <c r="D8" s="165"/>
      <c r="E8" s="165"/>
      <c r="F8" s="165"/>
      <c r="G8" s="168"/>
      <c r="H8" s="164"/>
      <c r="I8" s="170"/>
      <c r="J8" s="166"/>
      <c r="K8" s="166"/>
      <c r="L8" s="164"/>
      <c r="M8" s="164"/>
      <c r="N8" s="112"/>
      <c r="O8" s="166"/>
      <c r="P8" s="166"/>
      <c r="Q8" s="169"/>
      <c r="R8" s="167"/>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xr:uid="{00000000-0002-0000-0500-000000000000}">
      <formula1>版本名称</formula1>
    </dataValidation>
    <dataValidation type="list" allowBlank="1" showInputMessage="1" showErrorMessage="1" sqref="H5:H30" xr:uid="{00000000-0002-0000-0500-000001000000}">
      <formula1>"已提交,处理中,已上线,已挂起"</formula1>
    </dataValidation>
    <dataValidation type="list" allowBlank="1" showInputMessage="1" showErrorMessage="1" sqref="I5:I25" xr:uid="{00000000-0002-0000-0500-000002000000}">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B2:H14"/>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272" t="s">
        <v>81</v>
      </c>
      <c r="C2" s="273"/>
      <c r="D2" s="273"/>
      <c r="E2" s="273"/>
      <c r="F2" s="273"/>
      <c r="G2" s="273"/>
      <c r="H2" s="274"/>
    </row>
    <row r="3" spans="2:8" ht="159.75" customHeight="1" x14ac:dyDescent="0.2">
      <c r="B3" s="275" t="s">
        <v>82</v>
      </c>
      <c r="C3" s="276"/>
      <c r="D3" s="276"/>
      <c r="E3" s="276"/>
      <c r="F3" s="276"/>
      <c r="G3" s="276"/>
      <c r="H3" s="276"/>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xr:uid="{00000000-0002-0000-0600-000000000000}">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272" t="s">
        <v>95</v>
      </c>
      <c r="C2" s="273"/>
      <c r="D2" s="273"/>
      <c r="E2" s="273"/>
      <c r="F2" s="273"/>
      <c r="G2" s="273"/>
      <c r="H2" s="274"/>
    </row>
    <row r="3" spans="2:8" ht="93.75" customHeight="1" x14ac:dyDescent="0.2">
      <c r="B3" s="275" t="s">
        <v>88</v>
      </c>
      <c r="C3" s="276"/>
      <c r="D3" s="276"/>
      <c r="E3" s="276"/>
      <c r="F3" s="276"/>
      <c r="G3" s="276"/>
      <c r="H3" s="276"/>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1</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277" t="s">
        <v>94</v>
      </c>
      <c r="C18" s="278"/>
      <c r="D18" s="278"/>
      <c r="E18" s="278"/>
      <c r="F18" s="278"/>
      <c r="G18" s="278"/>
    </row>
  </sheetData>
  <mergeCells count="3">
    <mergeCell ref="B2:H2"/>
    <mergeCell ref="B3:H3"/>
    <mergeCell ref="B18:G18"/>
  </mergeCells>
  <phoneticPr fontId="1" type="noConversion"/>
  <dataValidations disablePrompts="1" count="1">
    <dataValidation type="list" allowBlank="1" showInputMessage="1" showErrorMessage="1" sqref="G11:G16" xr:uid="{00000000-0002-0000-0700-000000000000}">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279" t="s">
        <v>57</v>
      </c>
      <c r="C2" s="280"/>
      <c r="D2" s="280"/>
      <c r="E2" s="280"/>
      <c r="F2" s="280"/>
      <c r="G2" s="280"/>
      <c r="H2" s="281"/>
    </row>
    <row r="3" spans="2:8" ht="141.75" customHeight="1" x14ac:dyDescent="0.2">
      <c r="B3" s="282" t="s">
        <v>100</v>
      </c>
      <c r="C3" s="283"/>
      <c r="D3" s="283"/>
      <c r="E3" s="283"/>
      <c r="F3" s="283"/>
      <c r="G3" s="283"/>
      <c r="H3" s="284"/>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1</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285" t="s">
        <v>97</v>
      </c>
      <c r="F33" s="286"/>
      <c r="G33" s="293" t="s">
        <v>20</v>
      </c>
      <c r="H33" s="294"/>
    </row>
    <row r="34" spans="2:8" x14ac:dyDescent="0.2">
      <c r="B34" s="9"/>
      <c r="C34" s="9"/>
      <c r="D34" s="25"/>
      <c r="E34" s="287"/>
      <c r="F34" s="288"/>
      <c r="G34" s="289"/>
      <c r="H34" s="290"/>
    </row>
    <row r="35" spans="2:8" x14ac:dyDescent="0.2">
      <c r="B35" s="9"/>
      <c r="C35" s="9"/>
      <c r="D35" s="25"/>
      <c r="E35" s="287"/>
      <c r="F35" s="288"/>
      <c r="G35" s="289"/>
      <c r="H35" s="290"/>
    </row>
    <row r="36" spans="2:8" x14ac:dyDescent="0.2">
      <c r="B36" s="9"/>
      <c r="C36" s="9"/>
      <c r="D36" s="25"/>
      <c r="E36" s="287"/>
      <c r="F36" s="288"/>
      <c r="G36" s="289"/>
      <c r="H36" s="290"/>
    </row>
    <row r="38" spans="2:8" ht="78" customHeight="1" x14ac:dyDescent="0.2">
      <c r="B38" s="16" t="s">
        <v>62</v>
      </c>
      <c r="C38" s="291" t="s">
        <v>144</v>
      </c>
      <c r="D38" s="292"/>
      <c r="E38" s="292"/>
      <c r="F38" s="292"/>
      <c r="G38" s="292"/>
      <c r="H38" s="292"/>
    </row>
  </sheetData>
  <mergeCells count="11">
    <mergeCell ref="C38:H38"/>
    <mergeCell ref="G33:H33"/>
    <mergeCell ref="E34:F34"/>
    <mergeCell ref="G34:H34"/>
    <mergeCell ref="E35:F35"/>
    <mergeCell ref="G35:H35"/>
    <mergeCell ref="B2:H2"/>
    <mergeCell ref="B3:H3"/>
    <mergeCell ref="E33:F33"/>
    <mergeCell ref="E36:F36"/>
    <mergeCell ref="G36:H36"/>
  </mergeCells>
  <phoneticPr fontId="1" type="noConversion"/>
  <dataValidations count="1">
    <dataValidation type="list" allowBlank="1" showInputMessage="1" showErrorMessage="1" sqref="C5" xr:uid="{00000000-0002-0000-08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5" r:id="rId4" name="CommandButton1">
          <controlPr autoLine="0" r:id="rId5">
            <anchor moveWithCells="1">
              <from>
                <xdr:col>4</xdr:col>
                <xdr:colOff>171450</xdr:colOff>
                <xdr:row>1</xdr:row>
                <xdr:rowOff>76200</xdr:rowOff>
              </from>
              <to>
                <xdr:col>5</xdr:col>
                <xdr:colOff>485775</xdr:colOff>
                <xdr:row>1</xdr:row>
                <xdr:rowOff>371475</xdr:rowOff>
              </to>
            </anchor>
          </controlPr>
        </control>
      </mc:Choice>
      <mc:Fallback>
        <control shapeId="11265" r:id="rId4" name="CommandButton1"/>
      </mc:Fallback>
    </mc:AlternateContent>
    <mc:AlternateContent xmlns:mc="http://schemas.openxmlformats.org/markup-compatibility/2006">
      <mc:Choice Requires="x14">
        <control shapeId="11267" r:id="rId6" name="CommandButton2">
          <controlPr autoLine="0" r:id="rId7">
            <anchor moveWithCells="1">
              <from>
                <xdr:col>5</xdr:col>
                <xdr:colOff>695325</xdr:colOff>
                <xdr:row>1</xdr:row>
                <xdr:rowOff>76200</xdr:rowOff>
              </from>
              <to>
                <xdr:col>6</xdr:col>
                <xdr:colOff>600075</xdr:colOff>
                <xdr:row>1</xdr:row>
                <xdr:rowOff>361950</xdr:rowOff>
              </to>
            </anchor>
          </controlPr>
        </control>
      </mc:Choice>
      <mc:Fallback>
        <control shapeId="11267" r:id="rId6" name="Command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xr:uid="{00000000-0002-0000-0900-000000000000}">
      <formula1>"已提交,已关闭"</formula1>
    </dataValidation>
    <dataValidation type="list" allowBlank="1" showInputMessage="1" showErrorMessage="1" sqref="M2:M63" xr:uid="{00000000-0002-0000-0900-000001000000}">
      <formula1>"是,否"</formula1>
    </dataValidation>
    <dataValidation type="list" allowBlank="1" showInputMessage="1" showErrorMessage="1" sqref="I2:J63" xr:uid="{00000000-0002-0000-0900-000002000000}">
      <formula1>"10,9,8,7,6,5,4,3,2,1"</formula1>
    </dataValidation>
    <dataValidation type="list" allowBlank="1" showInputMessage="1" showErrorMessage="1" sqref="O2:O63" xr:uid="{00000000-0002-0000-0900-000003000000}">
      <formula1>版本名称</formula1>
    </dataValidation>
  </dataValidations>
  <pageMargins left="0.75" right="0.75" top="1" bottom="1" header="0.5" footer="0.5"/>
  <headerFooter alignWithMargins="0"/>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609363-D63A-4810-9E55-C903EB19237B}">
  <sheetPr codeName="Sheet24"/>
  <dimension ref="B1:G31"/>
  <sheetViews>
    <sheetView topLeftCell="B12" workbookViewId="0">
      <selection activeCell="G27" sqref="G27"/>
    </sheetView>
  </sheetViews>
  <sheetFormatPr defaultColWidth="4.5703125" defaultRowHeight="12.75" x14ac:dyDescent="0.2"/>
  <cols>
    <col min="1" max="1" width="0" style="163" hidden="1" customWidth="1"/>
    <col min="2" max="3" width="18.7109375" style="163" customWidth="1"/>
    <col min="4" max="4" width="48.7109375" style="163" customWidth="1"/>
    <col min="5" max="7" width="12.7109375" style="163" customWidth="1"/>
    <col min="8" max="16384" width="4.5703125" style="163"/>
  </cols>
  <sheetData>
    <row r="1" spans="2:7" hidden="1" x14ac:dyDescent="0.2"/>
    <row r="2" spans="2:7" ht="18" x14ac:dyDescent="0.2">
      <c r="B2" s="250" t="s">
        <v>373</v>
      </c>
      <c r="C2" s="250"/>
      <c r="D2" s="250"/>
      <c r="E2" s="250"/>
      <c r="F2" s="250"/>
      <c r="G2" s="250"/>
    </row>
    <row r="3" spans="2:7" ht="125.25" customHeight="1" x14ac:dyDescent="0.2">
      <c r="B3" s="251" t="s">
        <v>372</v>
      </c>
      <c r="C3" s="251"/>
      <c r="D3" s="251"/>
      <c r="E3" s="251"/>
      <c r="F3" s="251"/>
      <c r="G3" s="251"/>
    </row>
    <row r="4" spans="2:7" ht="13.5" customHeight="1" x14ac:dyDescent="0.2">
      <c r="B4" s="185"/>
      <c r="C4" s="186"/>
      <c r="D4" s="252"/>
      <c r="E4" s="253"/>
      <c r="F4" s="253"/>
      <c r="G4" s="254"/>
    </row>
    <row r="5" spans="2:7" ht="14.25" x14ac:dyDescent="0.3">
      <c r="B5" s="187" t="s">
        <v>280</v>
      </c>
      <c r="C5" s="176" t="s">
        <v>370</v>
      </c>
      <c r="D5" s="188"/>
      <c r="E5" s="189"/>
      <c r="F5" s="189"/>
      <c r="G5" s="190"/>
    </row>
    <row r="6" spans="2:7" ht="14.25" customHeight="1" x14ac:dyDescent="0.3">
      <c r="B6" s="182" t="s">
        <v>281</v>
      </c>
      <c r="C6" s="191">
        <f>COUNTIF(ISR清单!I4:I47,"待分析")</f>
        <v>0</v>
      </c>
      <c r="D6" s="188"/>
      <c r="E6" s="189"/>
      <c r="F6" s="189"/>
      <c r="G6" s="190"/>
    </row>
    <row r="7" spans="2:7" ht="14.25" customHeight="1" x14ac:dyDescent="0.3">
      <c r="B7" s="182" t="s">
        <v>282</v>
      </c>
      <c r="C7" s="191">
        <f>COUNTIF(ISR清单!I4:I47,"待排期")</f>
        <v>1</v>
      </c>
      <c r="D7" s="188"/>
      <c r="E7" s="189"/>
      <c r="F7" s="189"/>
      <c r="G7" s="190"/>
    </row>
    <row r="8" spans="2:7" ht="14.25" customHeight="1" x14ac:dyDescent="0.3">
      <c r="B8" s="182" t="s">
        <v>283</v>
      </c>
      <c r="C8" s="191">
        <f>COUNTIF(ISR清单!I4:I47,"已挂起")</f>
        <v>0</v>
      </c>
      <c r="D8" s="188"/>
      <c r="E8" s="189"/>
      <c r="F8" s="189"/>
      <c r="G8" s="190"/>
    </row>
    <row r="9" spans="2:7" ht="14.25" customHeight="1" x14ac:dyDescent="0.3">
      <c r="B9" s="182" t="s">
        <v>284</v>
      </c>
      <c r="C9" s="191">
        <f>本月退回ISR清单!C5</f>
        <v>0</v>
      </c>
      <c r="D9" s="188"/>
      <c r="E9" s="189"/>
      <c r="F9" s="189"/>
      <c r="G9" s="190"/>
    </row>
    <row r="10" spans="2:7" s="171" customFormat="1" ht="12.75" customHeight="1" x14ac:dyDescent="0.2">
      <c r="B10" s="239" t="s">
        <v>285</v>
      </c>
      <c r="C10" s="192"/>
      <c r="D10" s="193"/>
      <c r="E10" s="189"/>
      <c r="F10" s="189"/>
      <c r="G10" s="190"/>
    </row>
    <row r="11" spans="2:7" ht="14.25" customHeight="1" x14ac:dyDescent="0.2">
      <c r="B11" s="194"/>
      <c r="C11" s="195"/>
      <c r="D11" s="195"/>
      <c r="E11" s="196"/>
      <c r="F11" s="196"/>
      <c r="G11" s="197"/>
    </row>
    <row r="12" spans="2:7" ht="14.25" x14ac:dyDescent="0.3">
      <c r="B12" s="178" t="s">
        <v>286</v>
      </c>
      <c r="C12" s="178" t="s">
        <v>287</v>
      </c>
      <c r="D12" s="178" t="s">
        <v>288</v>
      </c>
      <c r="E12" s="177"/>
      <c r="F12" s="175"/>
      <c r="G12" s="198"/>
    </row>
    <row r="13" spans="2:7" ht="28.5" x14ac:dyDescent="0.3">
      <c r="B13" s="199" t="s">
        <v>289</v>
      </c>
      <c r="C13" s="200">
        <v>43454</v>
      </c>
      <c r="D13" s="200">
        <v>43454</v>
      </c>
      <c r="E13" s="201"/>
      <c r="F13" s="189"/>
      <c r="G13" s="190"/>
    </row>
    <row r="14" spans="2:7" ht="14.25" x14ac:dyDescent="0.3">
      <c r="B14" s="202" t="s">
        <v>290</v>
      </c>
      <c r="C14" s="200">
        <v>43454</v>
      </c>
      <c r="D14" s="200">
        <v>43457</v>
      </c>
      <c r="E14" s="188"/>
      <c r="F14" s="189"/>
      <c r="G14" s="190"/>
    </row>
    <row r="15" spans="2:7" ht="14.25" x14ac:dyDescent="0.3">
      <c r="B15" s="199" t="s">
        <v>291</v>
      </c>
      <c r="C15" s="200">
        <v>43454</v>
      </c>
      <c r="D15" s="200">
        <v>43455</v>
      </c>
      <c r="E15" s="201"/>
      <c r="F15" s="189"/>
      <c r="G15" s="190"/>
    </row>
    <row r="16" spans="2:7" ht="14.25" x14ac:dyDescent="0.3">
      <c r="B16" s="202" t="s">
        <v>292</v>
      </c>
      <c r="C16" s="200">
        <v>43458</v>
      </c>
      <c r="D16" s="200">
        <v>43458</v>
      </c>
      <c r="E16" s="201"/>
      <c r="F16" s="189"/>
      <c r="G16" s="190"/>
    </row>
    <row r="17" spans="2:7" ht="14.25" x14ac:dyDescent="0.2">
      <c r="B17" s="239" t="s">
        <v>293</v>
      </c>
      <c r="C17" s="240"/>
      <c r="D17" s="240"/>
      <c r="E17" s="240"/>
      <c r="F17" s="240"/>
      <c r="G17" s="241"/>
    </row>
    <row r="18" spans="2:7" ht="28.5" x14ac:dyDescent="0.2">
      <c r="B18" s="179" t="s">
        <v>187</v>
      </c>
      <c r="C18" s="180" t="s">
        <v>44</v>
      </c>
      <c r="D18" s="179" t="s">
        <v>46</v>
      </c>
      <c r="E18" s="179" t="s">
        <v>48</v>
      </c>
      <c r="F18" s="181" t="s">
        <v>294</v>
      </c>
      <c r="G18" s="179" t="s">
        <v>188</v>
      </c>
    </row>
    <row r="19" spans="2:7" x14ac:dyDescent="0.2">
      <c r="B19" s="184" t="s">
        <v>300</v>
      </c>
      <c r="C19" s="205">
        <v>43438</v>
      </c>
      <c r="D19" s="184" t="s">
        <v>369</v>
      </c>
      <c r="E19" s="184" t="s">
        <v>375</v>
      </c>
      <c r="F19" s="184" t="s">
        <v>376</v>
      </c>
      <c r="G19" s="184" t="s">
        <v>377</v>
      </c>
    </row>
    <row r="20" spans="2:7" x14ac:dyDescent="0.2">
      <c r="B20" s="184"/>
      <c r="C20" s="205"/>
      <c r="D20" s="184"/>
      <c r="E20" s="184"/>
      <c r="F20" s="184"/>
      <c r="G20" s="184"/>
    </row>
    <row r="21" spans="2:7" x14ac:dyDescent="0.2">
      <c r="B21" s="184"/>
      <c r="C21" s="205"/>
      <c r="D21" s="184"/>
      <c r="E21" s="184"/>
      <c r="F21" s="184"/>
      <c r="G21" s="184"/>
    </row>
    <row r="22" spans="2:7" ht="14.25" x14ac:dyDescent="0.2">
      <c r="B22" s="255" t="s">
        <v>295</v>
      </c>
      <c r="C22" s="256"/>
      <c r="D22" s="256"/>
      <c r="E22" s="256"/>
      <c r="F22" s="256"/>
      <c r="G22" s="257"/>
    </row>
    <row r="23" spans="2:7" ht="25.5" customHeight="1" x14ac:dyDescent="0.2">
      <c r="B23" s="179" t="s">
        <v>296</v>
      </c>
      <c r="C23" s="179" t="s">
        <v>297</v>
      </c>
      <c r="D23" s="179" t="s">
        <v>298</v>
      </c>
      <c r="E23" s="179" t="s">
        <v>48</v>
      </c>
      <c r="F23" s="179" t="s">
        <v>299</v>
      </c>
      <c r="G23" s="179" t="s">
        <v>188</v>
      </c>
    </row>
    <row r="24" spans="2:7" x14ac:dyDescent="0.2">
      <c r="B24" s="126"/>
      <c r="C24" s="125"/>
      <c r="D24" s="126"/>
      <c r="E24" s="124"/>
      <c r="F24" s="126"/>
      <c r="G24" s="126"/>
    </row>
    <row r="25" spans="2:7" x14ac:dyDescent="0.2">
      <c r="B25" s="126"/>
      <c r="C25" s="125"/>
      <c r="D25" s="126"/>
      <c r="E25" s="124"/>
      <c r="F25" s="126"/>
      <c r="G25" s="126"/>
    </row>
    <row r="26" spans="2:7" ht="14.25" x14ac:dyDescent="0.2">
      <c r="B26" s="255" t="s">
        <v>301</v>
      </c>
      <c r="C26" s="256"/>
      <c r="D26" s="256"/>
      <c r="E26" s="256"/>
      <c r="F26" s="256"/>
      <c r="G26" s="257"/>
    </row>
    <row r="27" spans="2:7" ht="14.25" x14ac:dyDescent="0.2">
      <c r="B27" s="179" t="s">
        <v>302</v>
      </c>
      <c r="C27" s="179" t="s">
        <v>280</v>
      </c>
      <c r="D27" s="179" t="s">
        <v>303</v>
      </c>
      <c r="E27" s="258" t="s">
        <v>304</v>
      </c>
      <c r="F27" s="259"/>
      <c r="G27" s="179" t="s">
        <v>305</v>
      </c>
    </row>
    <row r="28" spans="2:7" x14ac:dyDescent="0.2">
      <c r="B28" s="243" t="s">
        <v>378</v>
      </c>
      <c r="C28" s="243" t="s">
        <v>381</v>
      </c>
      <c r="D28" s="242">
        <v>43458</v>
      </c>
      <c r="E28" s="260" t="s">
        <v>379</v>
      </c>
      <c r="F28" s="261"/>
      <c r="G28" s="211"/>
    </row>
    <row r="29" spans="2:7" x14ac:dyDescent="0.2">
      <c r="B29" s="243"/>
      <c r="C29" s="243"/>
      <c r="D29" s="242"/>
      <c r="E29" s="262"/>
      <c r="F29" s="263"/>
      <c r="G29" s="211"/>
    </row>
    <row r="30" spans="2:7" x14ac:dyDescent="0.2">
      <c r="B30" s="238"/>
      <c r="C30" s="238"/>
      <c r="D30" s="238"/>
      <c r="E30" s="248"/>
      <c r="F30" s="245"/>
      <c r="G30" s="238"/>
    </row>
    <row r="31" spans="2:7" ht="88.5" customHeight="1" x14ac:dyDescent="0.2">
      <c r="B31" s="212" t="s">
        <v>309</v>
      </c>
      <c r="C31" s="264" t="s">
        <v>310</v>
      </c>
      <c r="D31" s="264"/>
      <c r="E31" s="264"/>
      <c r="F31" s="264"/>
      <c r="G31" s="264"/>
    </row>
  </sheetData>
  <mergeCells count="10">
    <mergeCell ref="E28:F28"/>
    <mergeCell ref="E29:F29"/>
    <mergeCell ref="E30:F30"/>
    <mergeCell ref="C31:G31"/>
    <mergeCell ref="B2:G2"/>
    <mergeCell ref="B3:G3"/>
    <mergeCell ref="D4:G4"/>
    <mergeCell ref="B22:G22"/>
    <mergeCell ref="B26:G26"/>
    <mergeCell ref="E27:F27"/>
  </mergeCells>
  <phoneticPr fontId="1" type="noConversion"/>
  <dataValidations count="1">
    <dataValidation type="list" allowBlank="1" showInputMessage="1" showErrorMessage="1" sqref="C5" xr:uid="{CC5C828D-2FAD-429C-939B-3C0AA0090F17}">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5713"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115713" r:id="rId4"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3"/>
  <dimension ref="B1:G30"/>
  <sheetViews>
    <sheetView topLeftCell="B19" workbookViewId="0">
      <selection activeCell="L28" sqref="L28"/>
    </sheetView>
  </sheetViews>
  <sheetFormatPr defaultColWidth="4.5703125" defaultRowHeight="12.75" x14ac:dyDescent="0.2"/>
  <cols>
    <col min="1" max="1" width="0" style="163" hidden="1" customWidth="1"/>
    <col min="2" max="3" width="18.7109375" style="163" customWidth="1"/>
    <col min="4" max="4" width="48.7109375" style="163" customWidth="1"/>
    <col min="5" max="7" width="12.7109375" style="163" customWidth="1"/>
    <col min="8" max="16384" width="4.5703125" style="163"/>
  </cols>
  <sheetData>
    <row r="1" spans="2:7" hidden="1" x14ac:dyDescent="0.2"/>
    <row r="2" spans="2:7" ht="18" x14ac:dyDescent="0.2">
      <c r="B2" s="250" t="s">
        <v>345</v>
      </c>
      <c r="C2" s="250"/>
      <c r="D2" s="250"/>
      <c r="E2" s="250"/>
      <c r="F2" s="250"/>
      <c r="G2" s="250"/>
    </row>
    <row r="3" spans="2:7" ht="125.25" customHeight="1" x14ac:dyDescent="0.2">
      <c r="B3" s="251" t="s">
        <v>344</v>
      </c>
      <c r="C3" s="251"/>
      <c r="D3" s="251"/>
      <c r="E3" s="251"/>
      <c r="F3" s="251"/>
      <c r="G3" s="251"/>
    </row>
    <row r="4" spans="2:7" ht="13.5" customHeight="1" x14ac:dyDescent="0.2">
      <c r="B4" s="185"/>
      <c r="C4" s="186"/>
      <c r="D4" s="252"/>
      <c r="E4" s="253"/>
      <c r="F4" s="253"/>
      <c r="G4" s="254"/>
    </row>
    <row r="5" spans="2:7" ht="14.25" x14ac:dyDescent="0.3">
      <c r="B5" s="187" t="s">
        <v>280</v>
      </c>
      <c r="C5" s="176" t="s">
        <v>266</v>
      </c>
      <c r="D5" s="188"/>
      <c r="E5" s="189"/>
      <c r="F5" s="189"/>
      <c r="G5" s="190"/>
    </row>
    <row r="6" spans="2:7" ht="14.25" customHeight="1" x14ac:dyDescent="0.3">
      <c r="B6" s="182" t="s">
        <v>281</v>
      </c>
      <c r="C6" s="191">
        <f>COUNTIF(ISR清单!I4:I47,"待分析")</f>
        <v>0</v>
      </c>
      <c r="D6" s="188"/>
      <c r="E6" s="189"/>
      <c r="F6" s="189"/>
      <c r="G6" s="190"/>
    </row>
    <row r="7" spans="2:7" ht="14.25" customHeight="1" x14ac:dyDescent="0.3">
      <c r="B7" s="182" t="s">
        <v>282</v>
      </c>
      <c r="C7" s="191">
        <f>COUNTIF(ISR清单!I4:I47,"待排期")</f>
        <v>1</v>
      </c>
      <c r="D7" s="188"/>
      <c r="E7" s="189"/>
      <c r="F7" s="189"/>
      <c r="G7" s="190"/>
    </row>
    <row r="8" spans="2:7" ht="14.25" customHeight="1" x14ac:dyDescent="0.3">
      <c r="B8" s="182" t="s">
        <v>283</v>
      </c>
      <c r="C8" s="191">
        <f>COUNTIF(ISR清单!I4:I47,"已挂起")</f>
        <v>0</v>
      </c>
      <c r="D8" s="188"/>
      <c r="E8" s="189"/>
      <c r="F8" s="189"/>
      <c r="G8" s="190"/>
    </row>
    <row r="9" spans="2:7" ht="14.25" customHeight="1" x14ac:dyDescent="0.3">
      <c r="B9" s="182" t="s">
        <v>284</v>
      </c>
      <c r="C9" s="191">
        <f>本月退回ISR清单!C5</f>
        <v>0</v>
      </c>
      <c r="D9" s="188"/>
      <c r="E9" s="189"/>
      <c r="F9" s="189"/>
      <c r="G9" s="190"/>
    </row>
    <row r="10" spans="2:7" s="171" customFormat="1" ht="12.75" customHeight="1" x14ac:dyDescent="0.2">
      <c r="B10" s="216" t="s">
        <v>285</v>
      </c>
      <c r="C10" s="192"/>
      <c r="D10" s="193"/>
      <c r="E10" s="189"/>
      <c r="F10" s="189"/>
      <c r="G10" s="190"/>
    </row>
    <row r="11" spans="2:7" ht="14.25" customHeight="1" x14ac:dyDescent="0.2">
      <c r="B11" s="194"/>
      <c r="C11" s="195"/>
      <c r="D11" s="195"/>
      <c r="E11" s="196"/>
      <c r="F11" s="196"/>
      <c r="G11" s="197"/>
    </row>
    <row r="12" spans="2:7" ht="14.25" x14ac:dyDescent="0.3">
      <c r="B12" s="178" t="s">
        <v>286</v>
      </c>
      <c r="C12" s="178" t="s">
        <v>287</v>
      </c>
      <c r="D12" s="178" t="s">
        <v>288</v>
      </c>
      <c r="E12" s="177"/>
      <c r="F12" s="175"/>
      <c r="G12" s="198"/>
    </row>
    <row r="13" spans="2:7" ht="28.5" x14ac:dyDescent="0.3">
      <c r="B13" s="199" t="s">
        <v>289</v>
      </c>
      <c r="C13" s="200">
        <v>43405</v>
      </c>
      <c r="D13" s="200">
        <v>43405</v>
      </c>
      <c r="E13" s="201"/>
      <c r="F13" s="189"/>
      <c r="G13" s="190"/>
    </row>
    <row r="14" spans="2:7" ht="14.25" x14ac:dyDescent="0.3">
      <c r="B14" s="202" t="s">
        <v>290</v>
      </c>
      <c r="C14" s="200">
        <v>43403</v>
      </c>
      <c r="D14" s="200">
        <v>43409</v>
      </c>
      <c r="E14" s="188"/>
      <c r="F14" s="189"/>
      <c r="G14" s="190"/>
    </row>
    <row r="15" spans="2:7" ht="14.25" x14ac:dyDescent="0.3">
      <c r="B15" s="199" t="s">
        <v>291</v>
      </c>
      <c r="C15" s="200">
        <v>43406</v>
      </c>
      <c r="D15" s="200">
        <v>43409</v>
      </c>
      <c r="E15" s="201"/>
      <c r="F15" s="189"/>
      <c r="G15" s="190"/>
    </row>
    <row r="16" spans="2:7" ht="14.25" x14ac:dyDescent="0.3">
      <c r="B16" s="202" t="s">
        <v>292</v>
      </c>
      <c r="C16" s="200">
        <v>43410</v>
      </c>
      <c r="D16" s="200">
        <v>43410</v>
      </c>
      <c r="E16" s="201"/>
      <c r="F16" s="189"/>
      <c r="G16" s="190"/>
    </row>
    <row r="17" spans="2:7" ht="14.25" x14ac:dyDescent="0.2">
      <c r="B17" s="216" t="s">
        <v>293</v>
      </c>
      <c r="C17" s="217"/>
      <c r="D17" s="217"/>
      <c r="E17" s="217"/>
      <c r="F17" s="217"/>
      <c r="G17" s="218"/>
    </row>
    <row r="18" spans="2:7" ht="28.5" x14ac:dyDescent="0.2">
      <c r="B18" s="179" t="s">
        <v>187</v>
      </c>
      <c r="C18" s="180" t="s">
        <v>44</v>
      </c>
      <c r="D18" s="179" t="s">
        <v>46</v>
      </c>
      <c r="E18" s="179" t="s">
        <v>48</v>
      </c>
      <c r="F18" s="181" t="s">
        <v>294</v>
      </c>
      <c r="G18" s="179" t="s">
        <v>188</v>
      </c>
    </row>
    <row r="19" spans="2:7" x14ac:dyDescent="0.2">
      <c r="B19" s="184" t="s">
        <v>313</v>
      </c>
      <c r="C19" s="205">
        <v>43391</v>
      </c>
      <c r="D19" s="184" t="s">
        <v>314</v>
      </c>
      <c r="E19" s="184" t="s">
        <v>315</v>
      </c>
      <c r="F19" s="184" t="s">
        <v>260</v>
      </c>
      <c r="G19" s="184"/>
    </row>
    <row r="20" spans="2:7" x14ac:dyDescent="0.2">
      <c r="B20" s="184" t="s">
        <v>268</v>
      </c>
      <c r="C20" s="205">
        <v>43347</v>
      </c>
      <c r="D20" s="184" t="s">
        <v>270</v>
      </c>
      <c r="E20" s="184" t="s">
        <v>275</v>
      </c>
      <c r="F20" s="184" t="s">
        <v>260</v>
      </c>
      <c r="G20" s="184"/>
    </row>
    <row r="21" spans="2:7" ht="14.25" x14ac:dyDescent="0.2">
      <c r="B21" s="255" t="s">
        <v>295</v>
      </c>
      <c r="C21" s="256"/>
      <c r="D21" s="256"/>
      <c r="E21" s="256"/>
      <c r="F21" s="256"/>
      <c r="G21" s="257"/>
    </row>
    <row r="22" spans="2:7" ht="25.5" customHeight="1" x14ac:dyDescent="0.2">
      <c r="B22" s="179" t="s">
        <v>296</v>
      </c>
      <c r="C22" s="179" t="s">
        <v>297</v>
      </c>
      <c r="D22" s="179" t="s">
        <v>298</v>
      </c>
      <c r="E22" s="179" t="s">
        <v>48</v>
      </c>
      <c r="F22" s="179" t="s">
        <v>299</v>
      </c>
      <c r="G22" s="179" t="s">
        <v>188</v>
      </c>
    </row>
    <row r="23" spans="2:7" x14ac:dyDescent="0.2">
      <c r="B23" s="126"/>
      <c r="C23" s="125"/>
      <c r="D23" s="126"/>
      <c r="E23" s="124"/>
      <c r="F23" s="126"/>
      <c r="G23" s="126"/>
    </row>
    <row r="24" spans="2:7" x14ac:dyDescent="0.2">
      <c r="B24" s="126"/>
      <c r="C24" s="125"/>
      <c r="D24" s="126"/>
      <c r="E24" s="124"/>
      <c r="F24" s="126"/>
      <c r="G24" s="126"/>
    </row>
    <row r="25" spans="2:7" ht="14.25" x14ac:dyDescent="0.2">
      <c r="B25" s="255" t="s">
        <v>301</v>
      </c>
      <c r="C25" s="256"/>
      <c r="D25" s="256"/>
      <c r="E25" s="256"/>
      <c r="F25" s="256"/>
      <c r="G25" s="257"/>
    </row>
    <row r="26" spans="2:7" ht="14.25" x14ac:dyDescent="0.2">
      <c r="B26" s="179" t="s">
        <v>302</v>
      </c>
      <c r="C26" s="179" t="s">
        <v>280</v>
      </c>
      <c r="D26" s="179" t="s">
        <v>303</v>
      </c>
      <c r="E26" s="258" t="s">
        <v>304</v>
      </c>
      <c r="F26" s="259"/>
      <c r="G26" s="179" t="s">
        <v>305</v>
      </c>
    </row>
    <row r="27" spans="2:7" x14ac:dyDescent="0.2">
      <c r="B27" s="220"/>
      <c r="C27" s="220"/>
      <c r="D27" s="219"/>
      <c r="E27" s="260"/>
      <c r="F27" s="261"/>
      <c r="G27" s="211"/>
    </row>
    <row r="28" spans="2:7" x14ac:dyDescent="0.2">
      <c r="B28" s="220"/>
      <c r="C28" s="220"/>
      <c r="D28" s="219"/>
      <c r="E28" s="262"/>
      <c r="F28" s="263"/>
      <c r="G28" s="211"/>
    </row>
    <row r="29" spans="2:7" x14ac:dyDescent="0.2">
      <c r="B29" s="215"/>
      <c r="C29" s="215"/>
      <c r="D29" s="215"/>
      <c r="E29" s="248"/>
      <c r="F29" s="245"/>
      <c r="G29" s="215"/>
    </row>
    <row r="30" spans="2:7" ht="88.5" customHeight="1" x14ac:dyDescent="0.2">
      <c r="B30" s="212" t="s">
        <v>309</v>
      </c>
      <c r="C30" s="264" t="s">
        <v>310</v>
      </c>
      <c r="D30" s="264"/>
      <c r="E30" s="264"/>
      <c r="F30" s="264"/>
      <c r="G30" s="264"/>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xr:uid="{00000000-0002-0000-0A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024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102401" r:id="rId4"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0"/>
  <dimension ref="B2:G30"/>
  <sheetViews>
    <sheetView topLeftCell="B1" workbookViewId="0">
      <selection activeCell="L2" sqref="L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50" t="s">
        <v>312</v>
      </c>
      <c r="C2" s="250"/>
      <c r="D2" s="250"/>
      <c r="E2" s="250"/>
      <c r="F2" s="250"/>
      <c r="G2" s="250"/>
    </row>
    <row r="3" spans="2:7" ht="125.25" customHeight="1" x14ac:dyDescent="0.2">
      <c r="B3" s="251" t="s">
        <v>279</v>
      </c>
      <c r="C3" s="251"/>
      <c r="D3" s="251"/>
      <c r="E3" s="251"/>
      <c r="F3" s="251"/>
      <c r="G3" s="251"/>
    </row>
    <row r="4" spans="2:7" ht="13.5" customHeight="1" x14ac:dyDescent="0.2">
      <c r="B4" s="81"/>
      <c r="C4" s="82"/>
      <c r="D4" s="252"/>
      <c r="E4" s="253"/>
      <c r="F4" s="253"/>
      <c r="G4" s="254"/>
    </row>
    <row r="5" spans="2:7" ht="14.25" x14ac:dyDescent="0.3">
      <c r="B5" s="83" t="s">
        <v>14</v>
      </c>
      <c r="C5" s="72" t="s">
        <v>266</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43391</v>
      </c>
      <c r="D13" s="96">
        <v>43391</v>
      </c>
      <c r="E13" s="97"/>
      <c r="F13" s="85"/>
      <c r="G13" s="86"/>
    </row>
    <row r="14" spans="2:7" ht="14.25" x14ac:dyDescent="0.3">
      <c r="B14" s="98" t="s">
        <v>74</v>
      </c>
      <c r="C14" s="96">
        <v>43391</v>
      </c>
      <c r="D14" s="96">
        <v>43395</v>
      </c>
      <c r="E14" s="84"/>
      <c r="F14" s="85"/>
      <c r="G14" s="86"/>
    </row>
    <row r="15" spans="2:7" ht="14.25" x14ac:dyDescent="0.3">
      <c r="B15" s="95" t="s">
        <v>73</v>
      </c>
      <c r="C15" s="96">
        <v>43391</v>
      </c>
      <c r="D15" s="96">
        <v>43395</v>
      </c>
      <c r="E15" s="97"/>
      <c r="F15" s="85"/>
      <c r="G15" s="86"/>
    </row>
    <row r="16" spans="2:7" ht="14.25" x14ac:dyDescent="0.3">
      <c r="B16" s="98" t="s">
        <v>19</v>
      </c>
      <c r="C16" s="96">
        <v>43398</v>
      </c>
      <c r="D16" s="96">
        <v>43398</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268</v>
      </c>
      <c r="C19" s="101">
        <v>43347</v>
      </c>
      <c r="D19" s="80" t="s">
        <v>270</v>
      </c>
      <c r="E19" s="80" t="s">
        <v>275</v>
      </c>
      <c r="F19" s="80" t="s">
        <v>260</v>
      </c>
      <c r="G19" s="80"/>
    </row>
    <row r="20" spans="2:7" ht="43.5" customHeight="1" x14ac:dyDescent="0.2">
      <c r="B20" s="119"/>
      <c r="C20" s="120"/>
      <c r="D20" s="121"/>
      <c r="E20" s="121"/>
      <c r="F20" s="121"/>
      <c r="G20" s="122"/>
    </row>
    <row r="21" spans="2:7" ht="43.5" customHeight="1" x14ac:dyDescent="0.2">
      <c r="B21" s="119"/>
      <c r="C21" s="120"/>
      <c r="D21" s="121"/>
      <c r="E21" s="121"/>
      <c r="F21" s="121"/>
      <c r="G21" s="122"/>
    </row>
    <row r="22" spans="2:7" ht="25.5" customHeight="1" x14ac:dyDescent="0.2">
      <c r="B22" s="255" t="s">
        <v>69</v>
      </c>
      <c r="C22" s="256"/>
      <c r="D22" s="256"/>
      <c r="E22" s="256"/>
      <c r="F22" s="256"/>
      <c r="G22" s="257"/>
    </row>
    <row r="23" spans="2:7" ht="28.5" x14ac:dyDescent="0.2">
      <c r="B23" s="75" t="s">
        <v>51</v>
      </c>
      <c r="C23" s="75" t="s">
        <v>52</v>
      </c>
      <c r="D23" s="75" t="s">
        <v>54</v>
      </c>
      <c r="E23" s="75" t="s">
        <v>102</v>
      </c>
      <c r="F23" s="75" t="s">
        <v>99</v>
      </c>
      <c r="G23" s="75" t="s">
        <v>49</v>
      </c>
    </row>
    <row r="24" spans="2:7" ht="14.25" x14ac:dyDescent="0.3">
      <c r="B24" s="78"/>
      <c r="C24" s="96"/>
      <c r="D24" s="78"/>
      <c r="E24" s="87"/>
      <c r="F24" s="78"/>
      <c r="G24" s="78"/>
    </row>
    <row r="25" spans="2:7" ht="14.25" x14ac:dyDescent="0.3">
      <c r="B25" s="78"/>
      <c r="C25" s="96"/>
      <c r="D25" s="78"/>
      <c r="E25" s="87"/>
      <c r="F25" s="78"/>
      <c r="G25" s="78"/>
    </row>
    <row r="26" spans="2:7" ht="14.25" x14ac:dyDescent="0.3">
      <c r="B26" s="113"/>
      <c r="C26" s="114"/>
      <c r="D26" s="115"/>
      <c r="E26" s="116"/>
      <c r="F26" s="115"/>
      <c r="G26" s="117"/>
    </row>
    <row r="27" spans="2:7" ht="23.25" customHeight="1" x14ac:dyDescent="0.2">
      <c r="B27" s="255" t="s">
        <v>70</v>
      </c>
      <c r="C27" s="256"/>
      <c r="D27" s="256"/>
      <c r="E27" s="256"/>
      <c r="F27" s="256"/>
      <c r="G27" s="257"/>
    </row>
    <row r="28" spans="2:7" ht="14.25" x14ac:dyDescent="0.2">
      <c r="B28" s="75" t="s">
        <v>67</v>
      </c>
      <c r="C28" s="75" t="s">
        <v>14</v>
      </c>
      <c r="D28" s="75" t="s">
        <v>66</v>
      </c>
      <c r="E28" s="258" t="s">
        <v>97</v>
      </c>
      <c r="F28" s="259"/>
      <c r="G28" s="75" t="s">
        <v>16</v>
      </c>
    </row>
    <row r="29" spans="2:7" x14ac:dyDescent="0.2">
      <c r="B29" s="55" t="s">
        <v>261</v>
      </c>
      <c r="C29" s="55"/>
      <c r="D29" s="123">
        <v>43291</v>
      </c>
      <c r="E29" s="248" t="s">
        <v>262</v>
      </c>
      <c r="F29" s="245"/>
      <c r="G29" s="55"/>
    </row>
    <row r="30" spans="2:7" ht="88.5" customHeight="1" x14ac:dyDescent="0.2">
      <c r="B30" s="105" t="s">
        <v>62</v>
      </c>
      <c r="C30" s="249" t="s">
        <v>210</v>
      </c>
      <c r="D30" s="249"/>
      <c r="E30" s="249"/>
      <c r="F30" s="249"/>
      <c r="G30" s="249"/>
    </row>
  </sheetData>
  <mergeCells count="8">
    <mergeCell ref="E29:F29"/>
    <mergeCell ref="C30:G30"/>
    <mergeCell ref="B2:G2"/>
    <mergeCell ref="B3:G3"/>
    <mergeCell ref="D4:G4"/>
    <mergeCell ref="B22:G22"/>
    <mergeCell ref="B27:G27"/>
    <mergeCell ref="E28:F28"/>
  </mergeCells>
  <phoneticPr fontId="66" type="noConversion"/>
  <dataValidations count="1">
    <dataValidation type="list" allowBlank="1" showInputMessage="1" showErrorMessage="1" sqref="C5" xr:uid="{00000000-0002-0000-0B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7"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5537" r:id="rId4" name="CommandButton1"/>
      </mc:Fallback>
    </mc:AlternateContent>
    <mc:AlternateContent xmlns:mc="http://schemas.openxmlformats.org/markup-compatibility/2006">
      <mc:Choice Requires="x14">
        <control shapeId="6553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5538" r:id="rId6" name="CommandButton2"/>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50" t="s">
        <v>246</v>
      </c>
      <c r="C2" s="250"/>
      <c r="D2" s="250"/>
      <c r="E2" s="250"/>
      <c r="F2" s="250"/>
      <c r="G2" s="250"/>
    </row>
    <row r="3" spans="2:7" ht="125.25" customHeight="1" x14ac:dyDescent="0.2">
      <c r="B3" s="251" t="s">
        <v>254</v>
      </c>
      <c r="C3" s="251"/>
      <c r="D3" s="251"/>
      <c r="E3" s="251"/>
      <c r="F3" s="251"/>
      <c r="G3" s="251"/>
    </row>
    <row r="4" spans="2:7" ht="13.5" customHeight="1" x14ac:dyDescent="0.2">
      <c r="B4" s="81"/>
      <c r="C4" s="82"/>
      <c r="D4" s="252"/>
      <c r="E4" s="253"/>
      <c r="F4" s="253"/>
      <c r="G4" s="254"/>
    </row>
    <row r="5" spans="2:7" ht="14.25" x14ac:dyDescent="0.3">
      <c r="B5" s="83" t="s">
        <v>14</v>
      </c>
      <c r="C5" s="72" t="s">
        <v>252</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43287</v>
      </c>
      <c r="D13" s="96">
        <v>43287</v>
      </c>
      <c r="E13" s="97"/>
      <c r="F13" s="85"/>
      <c r="G13" s="86"/>
    </row>
    <row r="14" spans="2:7" ht="14.25" x14ac:dyDescent="0.3">
      <c r="B14" s="98" t="s">
        <v>74</v>
      </c>
      <c r="C14" s="96">
        <v>43283</v>
      </c>
      <c r="D14" s="96">
        <v>43290</v>
      </c>
      <c r="E14" s="84"/>
      <c r="F14" s="85"/>
      <c r="G14" s="86"/>
    </row>
    <row r="15" spans="2:7" ht="14.25" x14ac:dyDescent="0.3">
      <c r="B15" s="95" t="s">
        <v>73</v>
      </c>
      <c r="C15" s="96">
        <v>43290</v>
      </c>
      <c r="D15" s="96">
        <v>43290</v>
      </c>
      <c r="E15" s="97"/>
      <c r="F15" s="85"/>
      <c r="G15" s="86"/>
    </row>
    <row r="16" spans="2:7" ht="14.25" x14ac:dyDescent="0.3">
      <c r="B16" s="98" t="s">
        <v>19</v>
      </c>
      <c r="C16" s="96">
        <v>43291</v>
      </c>
      <c r="D16" s="96">
        <v>43291</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257</v>
      </c>
      <c r="C19" s="101">
        <v>43239</v>
      </c>
      <c r="D19" s="80" t="s">
        <v>255</v>
      </c>
      <c r="E19" s="80" t="s">
        <v>259</v>
      </c>
      <c r="F19" s="80" t="s">
        <v>260</v>
      </c>
      <c r="G19" s="80"/>
    </row>
    <row r="20" spans="2:7" ht="43.5" customHeight="1" x14ac:dyDescent="0.2">
      <c r="B20" s="119"/>
      <c r="C20" s="120"/>
      <c r="D20" s="121"/>
      <c r="E20" s="121"/>
      <c r="F20" s="121"/>
      <c r="G20" s="122"/>
    </row>
    <row r="21" spans="2:7" ht="25.5" customHeight="1" x14ac:dyDescent="0.2">
      <c r="B21" s="255" t="s">
        <v>69</v>
      </c>
      <c r="C21" s="256"/>
      <c r="D21" s="256"/>
      <c r="E21" s="256"/>
      <c r="F21" s="256"/>
      <c r="G21" s="257"/>
    </row>
    <row r="22" spans="2:7" ht="28.5" x14ac:dyDescent="0.2">
      <c r="B22" s="75" t="s">
        <v>51</v>
      </c>
      <c r="C22" s="75" t="s">
        <v>52</v>
      </c>
      <c r="D22" s="75" t="s">
        <v>54</v>
      </c>
      <c r="E22" s="75" t="s">
        <v>102</v>
      </c>
      <c r="F22" s="75" t="s">
        <v>99</v>
      </c>
      <c r="G22" s="75" t="s">
        <v>49</v>
      </c>
    </row>
    <row r="23" spans="2:7" ht="14.25" x14ac:dyDescent="0.3">
      <c r="B23" s="78"/>
      <c r="C23" s="96"/>
      <c r="D23" s="78"/>
      <c r="E23" s="87"/>
      <c r="F23" s="78"/>
      <c r="G23" s="78"/>
    </row>
    <row r="24" spans="2:7" ht="14.25" x14ac:dyDescent="0.3">
      <c r="B24" s="78"/>
      <c r="C24" s="96"/>
      <c r="D24" s="78"/>
      <c r="E24" s="87"/>
      <c r="F24" s="78"/>
      <c r="G24" s="78"/>
    </row>
    <row r="25" spans="2:7" ht="14.25" x14ac:dyDescent="0.3">
      <c r="B25" s="113"/>
      <c r="C25" s="114"/>
      <c r="D25" s="115"/>
      <c r="E25" s="116"/>
      <c r="F25" s="115"/>
      <c r="G25" s="117"/>
    </row>
    <row r="26" spans="2:7" ht="23.25" customHeight="1" x14ac:dyDescent="0.2">
      <c r="B26" s="255" t="s">
        <v>70</v>
      </c>
      <c r="C26" s="256"/>
      <c r="D26" s="256"/>
      <c r="E26" s="256"/>
      <c r="F26" s="256"/>
      <c r="G26" s="257"/>
    </row>
    <row r="27" spans="2:7" ht="14.25" x14ac:dyDescent="0.2">
      <c r="B27" s="75" t="s">
        <v>67</v>
      </c>
      <c r="C27" s="75" t="s">
        <v>14</v>
      </c>
      <c r="D27" s="75" t="s">
        <v>66</v>
      </c>
      <c r="E27" s="258" t="s">
        <v>97</v>
      </c>
      <c r="F27" s="259"/>
      <c r="G27" s="75" t="s">
        <v>16</v>
      </c>
    </row>
    <row r="28" spans="2:7" x14ac:dyDescent="0.2">
      <c r="B28" s="55" t="s">
        <v>261</v>
      </c>
      <c r="C28" s="55"/>
      <c r="D28" s="123">
        <v>43291</v>
      </c>
      <c r="E28" s="248" t="s">
        <v>262</v>
      </c>
      <c r="F28" s="245"/>
      <c r="G28" s="55"/>
    </row>
    <row r="29" spans="2:7" ht="88.5" customHeight="1" x14ac:dyDescent="0.2">
      <c r="B29" s="105" t="s">
        <v>62</v>
      </c>
      <c r="C29" s="249" t="s">
        <v>210</v>
      </c>
      <c r="D29" s="249"/>
      <c r="E29" s="249"/>
      <c r="F29" s="249"/>
      <c r="G29" s="249"/>
    </row>
  </sheetData>
  <mergeCells count="8">
    <mergeCell ref="E28:F28"/>
    <mergeCell ref="C29:G29"/>
    <mergeCell ref="B2:G2"/>
    <mergeCell ref="B3:G3"/>
    <mergeCell ref="D4:G4"/>
    <mergeCell ref="B21:G21"/>
    <mergeCell ref="B26:G26"/>
    <mergeCell ref="E27:F27"/>
  </mergeCells>
  <phoneticPr fontId="58" type="noConversion"/>
  <dataValidations count="1">
    <dataValidation type="list" allowBlank="1" showInputMessage="1" showErrorMessage="1" sqref="C5" xr:uid="{00000000-0002-0000-0C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4513" r:id="rId4" name="CommandButton1"/>
      </mc:Fallback>
    </mc:AlternateContent>
    <mc:AlternateContent xmlns:mc="http://schemas.openxmlformats.org/markup-compatibility/2006">
      <mc:Choice Requires="x14">
        <control shapeId="6451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4514" r:id="rId6" name="CommandButton2"/>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50" t="s">
        <v>246</v>
      </c>
      <c r="C2" s="250"/>
      <c r="D2" s="250"/>
      <c r="E2" s="250"/>
      <c r="F2" s="250"/>
      <c r="G2" s="250"/>
    </row>
    <row r="3" spans="2:7" ht="125.25" customHeight="1" x14ac:dyDescent="0.2">
      <c r="B3" s="251" t="s">
        <v>247</v>
      </c>
      <c r="C3" s="251"/>
      <c r="D3" s="251"/>
      <c r="E3" s="251"/>
      <c r="F3" s="251"/>
      <c r="G3" s="251"/>
    </row>
    <row r="4" spans="2:7" ht="13.5" customHeight="1" x14ac:dyDescent="0.2">
      <c r="B4" s="81"/>
      <c r="C4" s="82"/>
      <c r="D4" s="252"/>
      <c r="E4" s="253"/>
      <c r="F4" s="253"/>
      <c r="G4" s="254"/>
    </row>
    <row r="5" spans="2:7" ht="14.25" x14ac:dyDescent="0.3">
      <c r="B5" s="83" t="s">
        <v>14</v>
      </c>
      <c r="C5" s="72" t="s">
        <v>248</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43270</v>
      </c>
      <c r="D13" s="96">
        <v>43270</v>
      </c>
      <c r="E13" s="97"/>
      <c r="F13" s="85"/>
      <c r="G13" s="86"/>
    </row>
    <row r="14" spans="2:7" ht="14.25" x14ac:dyDescent="0.3">
      <c r="B14" s="98" t="s">
        <v>74</v>
      </c>
      <c r="C14" s="96">
        <v>43270</v>
      </c>
      <c r="D14" s="96">
        <v>43270</v>
      </c>
      <c r="E14" s="84"/>
      <c r="F14" s="85"/>
      <c r="G14" s="86"/>
    </row>
    <row r="15" spans="2:7" ht="14.25" x14ac:dyDescent="0.3">
      <c r="B15" s="95" t="s">
        <v>73</v>
      </c>
      <c r="C15" s="96">
        <v>43270</v>
      </c>
      <c r="D15" s="96">
        <v>43270</v>
      </c>
      <c r="E15" s="97"/>
      <c r="F15" s="85"/>
      <c r="G15" s="86"/>
    </row>
    <row r="16" spans="2:7" ht="14.25" x14ac:dyDescent="0.3">
      <c r="B16" s="98" t="s">
        <v>19</v>
      </c>
      <c r="C16" s="96">
        <v>43270</v>
      </c>
      <c r="D16" s="96">
        <v>43270</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236</v>
      </c>
      <c r="C19" s="101">
        <v>43270</v>
      </c>
      <c r="D19" s="80" t="s">
        <v>250</v>
      </c>
      <c r="E19" s="80"/>
      <c r="F19" s="80"/>
      <c r="G19" s="80"/>
    </row>
    <row r="20" spans="2:7" ht="43.5" customHeight="1" x14ac:dyDescent="0.2">
      <c r="B20" s="119"/>
      <c r="C20" s="120"/>
      <c r="D20" s="121"/>
      <c r="E20" s="121"/>
      <c r="F20" s="121"/>
      <c r="G20" s="122"/>
    </row>
    <row r="21" spans="2:7" ht="25.5" customHeight="1" x14ac:dyDescent="0.2">
      <c r="B21" s="255" t="s">
        <v>69</v>
      </c>
      <c r="C21" s="256"/>
      <c r="D21" s="256"/>
      <c r="E21" s="256"/>
      <c r="F21" s="256"/>
      <c r="G21" s="257"/>
    </row>
    <row r="22" spans="2:7" ht="28.5" x14ac:dyDescent="0.2">
      <c r="B22" s="75" t="s">
        <v>51</v>
      </c>
      <c r="C22" s="75" t="s">
        <v>52</v>
      </c>
      <c r="D22" s="75" t="s">
        <v>54</v>
      </c>
      <c r="E22" s="75" t="s">
        <v>102</v>
      </c>
      <c r="F22" s="75" t="s">
        <v>99</v>
      </c>
      <c r="G22" s="75" t="s">
        <v>49</v>
      </c>
    </row>
    <row r="23" spans="2:7" ht="14.25" x14ac:dyDescent="0.3">
      <c r="B23" s="78"/>
      <c r="C23" s="96"/>
      <c r="D23" s="78"/>
      <c r="E23" s="87"/>
      <c r="F23" s="78"/>
      <c r="G23" s="78"/>
    </row>
    <row r="24" spans="2:7" ht="14.25" x14ac:dyDescent="0.3">
      <c r="B24" s="78"/>
      <c r="C24" s="96"/>
      <c r="D24" s="78"/>
      <c r="E24" s="87"/>
      <c r="F24" s="78"/>
      <c r="G24" s="78"/>
    </row>
    <row r="25" spans="2:7" ht="14.25" x14ac:dyDescent="0.3">
      <c r="B25" s="113"/>
      <c r="C25" s="114"/>
      <c r="D25" s="115"/>
      <c r="E25" s="116"/>
      <c r="F25" s="115"/>
      <c r="G25" s="117"/>
    </row>
    <row r="26" spans="2:7" ht="23.25" customHeight="1" x14ac:dyDescent="0.2">
      <c r="B26" s="255" t="s">
        <v>70</v>
      </c>
      <c r="C26" s="256"/>
      <c r="D26" s="256"/>
      <c r="E26" s="256"/>
      <c r="F26" s="256"/>
      <c r="G26" s="257"/>
    </row>
    <row r="27" spans="2:7" ht="14.25" x14ac:dyDescent="0.2">
      <c r="B27" s="75" t="s">
        <v>67</v>
      </c>
      <c r="C27" s="75" t="s">
        <v>14</v>
      </c>
      <c r="D27" s="75" t="s">
        <v>66</v>
      </c>
      <c r="E27" s="258" t="s">
        <v>97</v>
      </c>
      <c r="F27" s="259"/>
      <c r="G27" s="75" t="s">
        <v>16</v>
      </c>
    </row>
    <row r="28" spans="2:7" x14ac:dyDescent="0.2">
      <c r="B28" s="55"/>
      <c r="C28" s="55"/>
      <c r="D28" s="55"/>
      <c r="E28" s="248"/>
      <c r="F28" s="245"/>
      <c r="G28" s="55"/>
    </row>
    <row r="29" spans="2:7" ht="88.5" customHeight="1" x14ac:dyDescent="0.2">
      <c r="B29" s="105" t="s">
        <v>62</v>
      </c>
      <c r="C29" s="249" t="s">
        <v>210</v>
      </c>
      <c r="D29" s="249"/>
      <c r="E29" s="249"/>
      <c r="F29" s="249"/>
      <c r="G29" s="249"/>
    </row>
  </sheetData>
  <mergeCells count="8">
    <mergeCell ref="E28:F28"/>
    <mergeCell ref="C29:G29"/>
    <mergeCell ref="B2:G2"/>
    <mergeCell ref="B3:G3"/>
    <mergeCell ref="D4:G4"/>
    <mergeCell ref="B21:G21"/>
    <mergeCell ref="B26:G26"/>
    <mergeCell ref="E27:F27"/>
  </mergeCells>
  <phoneticPr fontId="57" type="noConversion"/>
  <dataValidations count="1">
    <dataValidation type="list" allowBlank="1" showInputMessage="1" showErrorMessage="1" sqref="C5" xr:uid="{00000000-0002-0000-0D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8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3489" r:id="rId4" name="CommandButton1"/>
      </mc:Fallback>
    </mc:AlternateContent>
    <mc:AlternateContent xmlns:mc="http://schemas.openxmlformats.org/markup-compatibility/2006">
      <mc:Choice Requires="x14">
        <control shapeId="6349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3490" r:id="rId6" name="CommandButton2"/>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50" t="s">
        <v>239</v>
      </c>
      <c r="C2" s="250"/>
      <c r="D2" s="250"/>
      <c r="E2" s="250"/>
      <c r="F2" s="250"/>
      <c r="G2" s="250"/>
    </row>
    <row r="3" spans="2:7" ht="125.25" customHeight="1" x14ac:dyDescent="0.2">
      <c r="B3" s="251" t="s">
        <v>238</v>
      </c>
      <c r="C3" s="251"/>
      <c r="D3" s="251"/>
      <c r="E3" s="251"/>
      <c r="F3" s="251"/>
      <c r="G3" s="251"/>
    </row>
    <row r="4" spans="2:7" ht="13.5" customHeight="1" x14ac:dyDescent="0.2">
      <c r="B4" s="81"/>
      <c r="C4" s="82"/>
      <c r="D4" s="252"/>
      <c r="E4" s="253"/>
      <c r="F4" s="253"/>
      <c r="G4" s="254"/>
    </row>
    <row r="5" spans="2:7" ht="14.25" x14ac:dyDescent="0.3">
      <c r="B5" s="83" t="s">
        <v>14</v>
      </c>
      <c r="C5" s="72" t="s">
        <v>224</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43206</v>
      </c>
      <c r="D13" s="96">
        <v>43206</v>
      </c>
      <c r="E13" s="97"/>
      <c r="F13" s="85"/>
      <c r="G13" s="86"/>
    </row>
    <row r="14" spans="2:7" ht="14.25" x14ac:dyDescent="0.3">
      <c r="B14" s="98" t="s">
        <v>74</v>
      </c>
      <c r="C14" s="96">
        <v>43209</v>
      </c>
      <c r="D14" s="96">
        <v>43209</v>
      </c>
      <c r="E14" s="84"/>
      <c r="F14" s="85"/>
      <c r="G14" s="86"/>
    </row>
    <row r="15" spans="2:7" ht="14.25" x14ac:dyDescent="0.3">
      <c r="B15" s="95" t="s">
        <v>73</v>
      </c>
      <c r="C15" s="96">
        <v>43210</v>
      </c>
      <c r="D15" s="96">
        <v>43210</v>
      </c>
      <c r="E15" s="97"/>
      <c r="F15" s="85"/>
      <c r="G15" s="86"/>
    </row>
    <row r="16" spans="2:7" ht="14.25" x14ac:dyDescent="0.3">
      <c r="B16" s="98" t="s">
        <v>19</v>
      </c>
      <c r="C16" s="96">
        <v>43215</v>
      </c>
      <c r="D16" s="96">
        <v>43215</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225</v>
      </c>
      <c r="C19" s="101">
        <v>43189</v>
      </c>
      <c r="D19" s="80" t="s">
        <v>226</v>
      </c>
      <c r="E19" s="80" t="s">
        <v>227</v>
      </c>
      <c r="F19" s="80" t="s">
        <v>179</v>
      </c>
      <c r="G19" s="80"/>
    </row>
    <row r="20" spans="2:7" ht="43.5" customHeight="1" x14ac:dyDescent="0.2">
      <c r="B20" s="80" t="s">
        <v>236</v>
      </c>
      <c r="C20" s="101">
        <v>43188</v>
      </c>
      <c r="D20" s="80" t="s">
        <v>228</v>
      </c>
      <c r="E20" s="80" t="s">
        <v>229</v>
      </c>
      <c r="F20" s="80" t="s">
        <v>230</v>
      </c>
      <c r="G20" s="80"/>
    </row>
    <row r="21" spans="2:7" ht="43.5" customHeight="1" x14ac:dyDescent="0.2">
      <c r="B21" s="80" t="s">
        <v>236</v>
      </c>
      <c r="C21" s="101">
        <v>43192</v>
      </c>
      <c r="D21" s="80" t="s">
        <v>231</v>
      </c>
      <c r="E21" s="80" t="s">
        <v>232</v>
      </c>
      <c r="F21" s="80" t="s">
        <v>230</v>
      </c>
      <c r="G21" s="80"/>
    </row>
    <row r="22" spans="2:7" ht="43.5" customHeight="1" x14ac:dyDescent="0.2">
      <c r="B22" s="80" t="s">
        <v>236</v>
      </c>
      <c r="C22" s="101">
        <v>43199</v>
      </c>
      <c r="D22" s="80" t="s">
        <v>233</v>
      </c>
      <c r="E22" s="80" t="s">
        <v>234</v>
      </c>
      <c r="F22" s="80" t="s">
        <v>230</v>
      </c>
      <c r="G22" s="80"/>
    </row>
    <row r="23" spans="2:7" ht="43.5" customHeight="1" x14ac:dyDescent="0.2">
      <c r="B23" s="80" t="s">
        <v>236</v>
      </c>
      <c r="C23" s="101">
        <v>43203</v>
      </c>
      <c r="D23" s="80" t="s">
        <v>235</v>
      </c>
      <c r="E23" s="80" t="s">
        <v>227</v>
      </c>
      <c r="F23" s="80" t="s">
        <v>179</v>
      </c>
      <c r="G23" s="80"/>
    </row>
    <row r="24" spans="2:7" ht="25.5" customHeight="1" x14ac:dyDescent="0.2">
      <c r="B24" s="255" t="s">
        <v>69</v>
      </c>
      <c r="C24" s="256"/>
      <c r="D24" s="256"/>
      <c r="E24" s="256"/>
      <c r="F24" s="256"/>
      <c r="G24" s="257"/>
    </row>
    <row r="25" spans="2:7" ht="28.5" x14ac:dyDescent="0.2">
      <c r="B25" s="75" t="s">
        <v>51</v>
      </c>
      <c r="C25" s="75" t="s">
        <v>52</v>
      </c>
      <c r="D25" s="75" t="s">
        <v>54</v>
      </c>
      <c r="E25" s="75" t="s">
        <v>102</v>
      </c>
      <c r="F25" s="75" t="s">
        <v>99</v>
      </c>
      <c r="G25" s="75" t="s">
        <v>49</v>
      </c>
    </row>
    <row r="26" spans="2:7" ht="14.25" x14ac:dyDescent="0.3">
      <c r="B26" s="78"/>
      <c r="C26" s="96"/>
      <c r="D26" s="78"/>
      <c r="E26" s="87"/>
      <c r="F26" s="78"/>
      <c r="G26" s="78"/>
    </row>
    <row r="27" spans="2:7" ht="23.25" customHeight="1" x14ac:dyDescent="0.2">
      <c r="B27" s="255" t="s">
        <v>70</v>
      </c>
      <c r="C27" s="256"/>
      <c r="D27" s="256"/>
      <c r="E27" s="256"/>
      <c r="F27" s="256"/>
      <c r="G27" s="257"/>
    </row>
    <row r="28" spans="2:7" ht="14.25" x14ac:dyDescent="0.2">
      <c r="B28" s="75" t="s">
        <v>67</v>
      </c>
      <c r="C28" s="75" t="s">
        <v>14</v>
      </c>
      <c r="D28" s="75" t="s">
        <v>66</v>
      </c>
      <c r="E28" s="258" t="s">
        <v>97</v>
      </c>
      <c r="F28" s="259"/>
      <c r="G28" s="75" t="s">
        <v>16</v>
      </c>
    </row>
    <row r="29" spans="2:7" x14ac:dyDescent="0.2">
      <c r="B29" s="55"/>
      <c r="C29" s="55"/>
      <c r="D29" s="102"/>
      <c r="E29" s="244"/>
      <c r="F29" s="245"/>
      <c r="G29" s="103"/>
    </row>
    <row r="30" spans="2:7" x14ac:dyDescent="0.2">
      <c r="B30" s="104"/>
      <c r="C30" s="55"/>
      <c r="D30" s="102"/>
      <c r="E30" s="246"/>
      <c r="F30" s="247"/>
      <c r="G30" s="103"/>
    </row>
    <row r="31" spans="2:7" x14ac:dyDescent="0.2">
      <c r="B31" s="55"/>
      <c r="C31" s="55"/>
      <c r="D31" s="55"/>
      <c r="E31" s="248"/>
      <c r="F31" s="245"/>
      <c r="G31" s="55"/>
    </row>
    <row r="32" spans="2:7" ht="88.5" customHeight="1" x14ac:dyDescent="0.2">
      <c r="B32" s="105" t="s">
        <v>62</v>
      </c>
      <c r="C32" s="249" t="s">
        <v>210</v>
      </c>
      <c r="D32" s="249"/>
      <c r="E32" s="249"/>
      <c r="F32" s="249"/>
      <c r="G32" s="249"/>
    </row>
  </sheetData>
  <mergeCells count="10">
    <mergeCell ref="E29:F29"/>
    <mergeCell ref="E30:F30"/>
    <mergeCell ref="E31:F31"/>
    <mergeCell ref="C32:G32"/>
    <mergeCell ref="B2:G2"/>
    <mergeCell ref="B3:G3"/>
    <mergeCell ref="D4:G4"/>
    <mergeCell ref="B24:G24"/>
    <mergeCell ref="B27:G27"/>
    <mergeCell ref="E28:F28"/>
  </mergeCells>
  <phoneticPr fontId="54" type="noConversion"/>
  <dataValidations count="1">
    <dataValidation type="list" allowBlank="1" showInputMessage="1" showErrorMessage="1" sqref="C5" xr:uid="{00000000-0002-0000-0E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5"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2465" r:id="rId4" name="CommandButton1"/>
      </mc:Fallback>
    </mc:AlternateContent>
    <mc:AlternateContent xmlns:mc="http://schemas.openxmlformats.org/markup-compatibility/2006">
      <mc:Choice Requires="x14">
        <control shapeId="62466"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2466" r:id="rId6" name="CommandButton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50" t="s">
        <v>211</v>
      </c>
      <c r="C2" s="250"/>
      <c r="D2" s="250"/>
      <c r="E2" s="250"/>
      <c r="F2" s="250"/>
      <c r="G2" s="250"/>
    </row>
    <row r="3" spans="2:7" ht="125.25" customHeight="1" x14ac:dyDescent="0.2">
      <c r="B3" s="251" t="s">
        <v>212</v>
      </c>
      <c r="C3" s="251"/>
      <c r="D3" s="251"/>
      <c r="E3" s="251"/>
      <c r="F3" s="251"/>
      <c r="G3" s="251"/>
    </row>
    <row r="4" spans="2:7" ht="13.5" customHeight="1" x14ac:dyDescent="0.2">
      <c r="B4" s="81"/>
      <c r="C4" s="82"/>
      <c r="D4" s="252"/>
      <c r="E4" s="253"/>
      <c r="F4" s="253"/>
      <c r="G4" s="254"/>
    </row>
    <row r="5" spans="2:7" ht="14.25" x14ac:dyDescent="0.3">
      <c r="B5" s="83" t="s">
        <v>14</v>
      </c>
      <c r="C5" s="72" t="s">
        <v>207</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43171</v>
      </c>
      <c r="D13" s="96">
        <v>43171</v>
      </c>
      <c r="E13" s="97"/>
      <c r="F13" s="85"/>
      <c r="G13" s="86"/>
    </row>
    <row r="14" spans="2:7" ht="14.25" x14ac:dyDescent="0.3">
      <c r="B14" s="98" t="s">
        <v>74</v>
      </c>
      <c r="C14" s="96">
        <v>43171</v>
      </c>
      <c r="D14" s="96">
        <v>43173</v>
      </c>
      <c r="E14" s="84"/>
      <c r="F14" s="85"/>
      <c r="G14" s="86"/>
    </row>
    <row r="15" spans="2:7" ht="14.25" x14ac:dyDescent="0.3">
      <c r="B15" s="95" t="s">
        <v>73</v>
      </c>
      <c r="C15" s="96">
        <v>43172</v>
      </c>
      <c r="D15" s="96">
        <v>43173</v>
      </c>
      <c r="E15" s="97"/>
      <c r="F15" s="85"/>
      <c r="G15" s="86"/>
    </row>
    <row r="16" spans="2:7" ht="14.25" x14ac:dyDescent="0.3">
      <c r="B16" s="98" t="s">
        <v>19</v>
      </c>
      <c r="C16" s="96">
        <v>43174</v>
      </c>
      <c r="D16" s="96">
        <v>43174</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204</v>
      </c>
      <c r="C19" s="101">
        <v>43119</v>
      </c>
      <c r="D19" s="80" t="s">
        <v>209</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ht="14.25" customHeight="1" x14ac:dyDescent="0.2">
      <c r="B22" s="80"/>
      <c r="C22" s="101"/>
      <c r="D22" s="80"/>
      <c r="E22" s="80"/>
      <c r="F22" s="80"/>
      <c r="G22" s="80"/>
    </row>
    <row r="23" spans="2:7" ht="14.25" customHeight="1" x14ac:dyDescent="0.2">
      <c r="B23" s="80"/>
      <c r="C23" s="101"/>
      <c r="D23" s="80"/>
      <c r="E23" s="80"/>
      <c r="F23" s="80"/>
      <c r="G23" s="80"/>
    </row>
    <row r="24" spans="2:7" x14ac:dyDescent="0.2">
      <c r="B24" s="80"/>
      <c r="C24" s="101"/>
      <c r="D24" s="80"/>
      <c r="E24" s="80"/>
      <c r="F24" s="80"/>
      <c r="G24" s="80"/>
    </row>
    <row r="25" spans="2:7" ht="25.5" customHeight="1" x14ac:dyDescent="0.2">
      <c r="B25" s="255" t="s">
        <v>69</v>
      </c>
      <c r="C25" s="256"/>
      <c r="D25" s="256"/>
      <c r="E25" s="256"/>
      <c r="F25" s="256"/>
      <c r="G25" s="257"/>
    </row>
    <row r="26" spans="2:7" ht="28.5" x14ac:dyDescent="0.2">
      <c r="B26" s="75" t="s">
        <v>51</v>
      </c>
      <c r="C26" s="75" t="s">
        <v>52</v>
      </c>
      <c r="D26" s="75" t="s">
        <v>54</v>
      </c>
      <c r="E26" s="75" t="s">
        <v>102</v>
      </c>
      <c r="F26" s="75" t="s">
        <v>99</v>
      </c>
      <c r="G26" s="75" t="s">
        <v>49</v>
      </c>
    </row>
    <row r="27" spans="2:7" ht="14.25" x14ac:dyDescent="0.3">
      <c r="B27" s="78"/>
      <c r="C27" s="96"/>
      <c r="D27" s="78"/>
      <c r="E27" s="87"/>
      <c r="F27" s="78"/>
      <c r="G27" s="78"/>
    </row>
    <row r="28" spans="2:7" ht="23.25" customHeight="1" x14ac:dyDescent="0.2">
      <c r="B28" s="255" t="s">
        <v>70</v>
      </c>
      <c r="C28" s="256"/>
      <c r="D28" s="256"/>
      <c r="E28" s="256"/>
      <c r="F28" s="256"/>
      <c r="G28" s="257"/>
    </row>
    <row r="29" spans="2:7" ht="14.25" x14ac:dyDescent="0.2">
      <c r="B29" s="75" t="s">
        <v>67</v>
      </c>
      <c r="C29" s="75" t="s">
        <v>14</v>
      </c>
      <c r="D29" s="75" t="s">
        <v>66</v>
      </c>
      <c r="E29" s="258" t="s">
        <v>97</v>
      </c>
      <c r="F29" s="259"/>
      <c r="G29" s="75" t="s">
        <v>16</v>
      </c>
    </row>
    <row r="30" spans="2:7" x14ac:dyDescent="0.2">
      <c r="B30" s="55"/>
      <c r="C30" s="55"/>
      <c r="D30" s="102"/>
      <c r="E30" s="244"/>
      <c r="F30" s="245"/>
      <c r="G30" s="103"/>
    </row>
    <row r="31" spans="2:7" x14ac:dyDescent="0.2">
      <c r="B31" s="104"/>
      <c r="C31" s="55"/>
      <c r="D31" s="102"/>
      <c r="E31" s="246"/>
      <c r="F31" s="247"/>
      <c r="G31" s="103"/>
    </row>
    <row r="32" spans="2:7" x14ac:dyDescent="0.2">
      <c r="B32" s="55"/>
      <c r="C32" s="55"/>
      <c r="D32" s="55"/>
      <c r="E32" s="248"/>
      <c r="F32" s="245"/>
      <c r="G32" s="55"/>
    </row>
    <row r="33" spans="2:7" ht="88.5" customHeight="1" x14ac:dyDescent="0.2">
      <c r="B33" s="105" t="s">
        <v>62</v>
      </c>
      <c r="C33" s="249" t="s">
        <v>210</v>
      </c>
      <c r="D33" s="249"/>
      <c r="E33" s="249"/>
      <c r="F33" s="249"/>
      <c r="G33" s="249"/>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xr:uid="{00000000-0002-0000-0F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1"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61441" r:id="rId4" name="CommandButton1"/>
      </mc:Fallback>
    </mc:AlternateContent>
    <mc:AlternateContent xmlns:mc="http://schemas.openxmlformats.org/markup-compatibility/2006">
      <mc:Choice Requires="x14">
        <control shapeId="61442"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61442" r:id="rId6" name="CommandButton2"/>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50" t="s">
        <v>203</v>
      </c>
      <c r="C2" s="250"/>
      <c r="D2" s="250"/>
      <c r="E2" s="250"/>
      <c r="F2" s="250"/>
      <c r="G2" s="250"/>
    </row>
    <row r="3" spans="2:7" ht="125.25" customHeight="1" x14ac:dyDescent="0.2">
      <c r="B3" s="251" t="s">
        <v>202</v>
      </c>
      <c r="C3" s="251"/>
      <c r="D3" s="251"/>
      <c r="E3" s="251"/>
      <c r="F3" s="251"/>
      <c r="G3" s="251"/>
    </row>
    <row r="4" spans="2:7" ht="13.5" customHeight="1" x14ac:dyDescent="0.2">
      <c r="B4" s="81"/>
      <c r="C4" s="82"/>
      <c r="D4" s="252"/>
      <c r="E4" s="253"/>
      <c r="F4" s="253"/>
      <c r="G4" s="254"/>
    </row>
    <row r="5" spans="2:7" ht="14.25" x14ac:dyDescent="0.3">
      <c r="B5" s="83" t="s">
        <v>14</v>
      </c>
      <c r="C5" s="72" t="s">
        <v>200</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43045</v>
      </c>
      <c r="D13" s="96">
        <v>43045</v>
      </c>
      <c r="E13" s="97"/>
      <c r="F13" s="85"/>
      <c r="G13" s="86"/>
    </row>
    <row r="14" spans="2:7" ht="14.25" x14ac:dyDescent="0.3">
      <c r="B14" s="98" t="s">
        <v>74</v>
      </c>
      <c r="C14" s="96">
        <v>43045</v>
      </c>
      <c r="D14" s="96">
        <v>43049</v>
      </c>
      <c r="E14" s="84"/>
      <c r="F14" s="85"/>
      <c r="G14" s="86"/>
    </row>
    <row r="15" spans="2:7" ht="14.25" x14ac:dyDescent="0.3">
      <c r="B15" s="95" t="s">
        <v>73</v>
      </c>
      <c r="C15" s="96">
        <v>43047</v>
      </c>
      <c r="D15" s="96">
        <v>43049</v>
      </c>
      <c r="E15" s="97"/>
      <c r="F15" s="85"/>
      <c r="G15" s="86"/>
    </row>
    <row r="16" spans="2:7" ht="14.25" x14ac:dyDescent="0.3">
      <c r="B16" s="98" t="s">
        <v>19</v>
      </c>
      <c r="C16" s="96">
        <v>43052</v>
      </c>
      <c r="D16" s="96">
        <v>43052</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195</v>
      </c>
      <c r="C19" s="101">
        <v>43024</v>
      </c>
      <c r="D19" s="80" t="s">
        <v>201</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ht="14.25" customHeight="1" x14ac:dyDescent="0.2">
      <c r="B22" s="80"/>
      <c r="C22" s="101"/>
      <c r="D22" s="80"/>
      <c r="E22" s="80"/>
      <c r="F22" s="80"/>
      <c r="G22" s="80"/>
    </row>
    <row r="23" spans="2:7" x14ac:dyDescent="0.2">
      <c r="B23" s="80"/>
      <c r="C23" s="101"/>
      <c r="D23" s="80"/>
      <c r="E23" s="80"/>
      <c r="F23" s="80"/>
      <c r="G23" s="80"/>
    </row>
    <row r="24" spans="2:7" ht="25.5" customHeight="1" x14ac:dyDescent="0.2">
      <c r="B24" s="255" t="s">
        <v>69</v>
      </c>
      <c r="C24" s="256"/>
      <c r="D24" s="256"/>
      <c r="E24" s="256"/>
      <c r="F24" s="256"/>
      <c r="G24" s="257"/>
    </row>
    <row r="25" spans="2:7" ht="28.5" x14ac:dyDescent="0.2">
      <c r="B25" s="75" t="s">
        <v>51</v>
      </c>
      <c r="C25" s="75" t="s">
        <v>52</v>
      </c>
      <c r="D25" s="75" t="s">
        <v>54</v>
      </c>
      <c r="E25" s="75" t="s">
        <v>102</v>
      </c>
      <c r="F25" s="75" t="s">
        <v>99</v>
      </c>
      <c r="G25" s="75" t="s">
        <v>49</v>
      </c>
    </row>
    <row r="26" spans="2:7" ht="14.25" x14ac:dyDescent="0.3">
      <c r="B26" s="78"/>
      <c r="C26" s="96"/>
      <c r="D26" s="78"/>
      <c r="E26" s="87"/>
      <c r="F26" s="78"/>
      <c r="G26" s="78"/>
    </row>
    <row r="27" spans="2:7" ht="23.25" customHeight="1" x14ac:dyDescent="0.2">
      <c r="B27" s="255" t="s">
        <v>70</v>
      </c>
      <c r="C27" s="256"/>
      <c r="D27" s="256"/>
      <c r="E27" s="256"/>
      <c r="F27" s="256"/>
      <c r="G27" s="257"/>
    </row>
    <row r="28" spans="2:7" ht="14.25" x14ac:dyDescent="0.2">
      <c r="B28" s="75" t="s">
        <v>67</v>
      </c>
      <c r="C28" s="75" t="s">
        <v>14</v>
      </c>
      <c r="D28" s="75" t="s">
        <v>66</v>
      </c>
      <c r="E28" s="258" t="s">
        <v>97</v>
      </c>
      <c r="F28" s="259"/>
      <c r="G28" s="75" t="s">
        <v>16</v>
      </c>
    </row>
    <row r="29" spans="2:7" x14ac:dyDescent="0.2">
      <c r="B29" s="55"/>
      <c r="C29" s="55"/>
      <c r="D29" s="102"/>
      <c r="E29" s="244"/>
      <c r="F29" s="245"/>
      <c r="G29" s="103"/>
    </row>
    <row r="30" spans="2:7" x14ac:dyDescent="0.2">
      <c r="B30" s="104"/>
      <c r="C30" s="55"/>
      <c r="D30" s="102"/>
      <c r="E30" s="246"/>
      <c r="F30" s="247"/>
      <c r="G30" s="103"/>
    </row>
    <row r="31" spans="2:7" x14ac:dyDescent="0.2">
      <c r="B31" s="55"/>
      <c r="C31" s="55"/>
      <c r="D31" s="55"/>
      <c r="E31" s="248"/>
      <c r="F31" s="245"/>
      <c r="G31" s="55"/>
    </row>
    <row r="32" spans="2:7" ht="88.5" customHeight="1" x14ac:dyDescent="0.2">
      <c r="B32" s="105" t="s">
        <v>62</v>
      </c>
      <c r="C32" s="249" t="s">
        <v>210</v>
      </c>
      <c r="D32" s="249"/>
      <c r="E32" s="249"/>
      <c r="F32" s="249"/>
      <c r="G32" s="249"/>
    </row>
  </sheetData>
  <mergeCells count="10">
    <mergeCell ref="E29:F29"/>
    <mergeCell ref="E30:F30"/>
    <mergeCell ref="E31:F31"/>
    <mergeCell ref="C32:G32"/>
    <mergeCell ref="B2:G2"/>
    <mergeCell ref="B3:G3"/>
    <mergeCell ref="D4:G4"/>
    <mergeCell ref="B24:G24"/>
    <mergeCell ref="B27:G27"/>
    <mergeCell ref="E28:F28"/>
  </mergeCells>
  <phoneticPr fontId="51" type="noConversion"/>
  <dataValidations count="1">
    <dataValidation type="list" allowBlank="1" showInputMessage="1" showErrorMessage="1" sqref="C5" xr:uid="{00000000-0002-0000-10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3"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9393" r:id="rId4" name="CommandButton1"/>
      </mc:Fallback>
    </mc:AlternateContent>
    <mc:AlternateContent xmlns:mc="http://schemas.openxmlformats.org/markup-compatibility/2006">
      <mc:Choice Requires="x14">
        <control shapeId="59394"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9394" r:id="rId6" name="CommandButton2"/>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50" t="s">
        <v>193</v>
      </c>
      <c r="C2" s="250"/>
      <c r="D2" s="250"/>
      <c r="E2" s="250"/>
      <c r="F2" s="250"/>
      <c r="G2" s="250"/>
    </row>
    <row r="3" spans="2:7" ht="125.25" customHeight="1" x14ac:dyDescent="0.2">
      <c r="B3" s="251" t="s">
        <v>194</v>
      </c>
      <c r="C3" s="251"/>
      <c r="D3" s="251"/>
      <c r="E3" s="251"/>
      <c r="F3" s="251"/>
      <c r="G3" s="251"/>
    </row>
    <row r="4" spans="2:7" ht="13.5" customHeight="1" x14ac:dyDescent="0.2">
      <c r="B4" s="81"/>
      <c r="C4" s="82"/>
      <c r="D4" s="252"/>
      <c r="E4" s="253"/>
      <c r="F4" s="253"/>
      <c r="G4" s="254"/>
    </row>
    <row r="5" spans="2:7" ht="14.25" x14ac:dyDescent="0.3">
      <c r="B5" s="83" t="s">
        <v>14</v>
      </c>
      <c r="C5" s="72" t="s">
        <v>192</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42950</v>
      </c>
      <c r="D13" s="96">
        <v>42950</v>
      </c>
      <c r="E13" s="97"/>
      <c r="F13" s="85"/>
      <c r="G13" s="86"/>
    </row>
    <row r="14" spans="2:7" ht="14.25" x14ac:dyDescent="0.3">
      <c r="B14" s="98" t="s">
        <v>74</v>
      </c>
      <c r="C14" s="96">
        <v>42950</v>
      </c>
      <c r="D14" s="96">
        <v>42956</v>
      </c>
      <c r="E14" s="84"/>
      <c r="F14" s="85"/>
      <c r="G14" s="86"/>
    </row>
    <row r="15" spans="2:7" ht="14.25" x14ac:dyDescent="0.3">
      <c r="B15" s="95" t="s">
        <v>73</v>
      </c>
      <c r="C15" s="96">
        <v>42954</v>
      </c>
      <c r="D15" s="96">
        <v>42956</v>
      </c>
      <c r="E15" s="97"/>
      <c r="F15" s="85"/>
      <c r="G15" s="86"/>
    </row>
    <row r="16" spans="2:7" ht="14.25" x14ac:dyDescent="0.3">
      <c r="B16" s="98" t="s">
        <v>19</v>
      </c>
      <c r="C16" s="96">
        <v>42957</v>
      </c>
      <c r="D16" s="96">
        <v>42957</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176</v>
      </c>
      <c r="C19" s="101">
        <v>42888</v>
      </c>
      <c r="D19" s="80" t="s">
        <v>177</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x14ac:dyDescent="0.2">
      <c r="B22" s="80"/>
      <c r="C22" s="101"/>
      <c r="D22" s="80"/>
      <c r="E22" s="80"/>
      <c r="F22" s="80"/>
      <c r="G22" s="80"/>
    </row>
    <row r="23" spans="2:7" ht="25.5" customHeight="1" x14ac:dyDescent="0.2">
      <c r="B23" s="255" t="s">
        <v>69</v>
      </c>
      <c r="C23" s="256"/>
      <c r="D23" s="256"/>
      <c r="E23" s="256"/>
      <c r="F23" s="256"/>
      <c r="G23" s="257"/>
    </row>
    <row r="24" spans="2:7" ht="28.5" x14ac:dyDescent="0.2">
      <c r="B24" s="75" t="s">
        <v>51</v>
      </c>
      <c r="C24" s="75" t="s">
        <v>52</v>
      </c>
      <c r="D24" s="75" t="s">
        <v>54</v>
      </c>
      <c r="E24" s="75" t="s">
        <v>102</v>
      </c>
      <c r="F24" s="75" t="s">
        <v>99</v>
      </c>
      <c r="G24" s="75" t="s">
        <v>49</v>
      </c>
    </row>
    <row r="25" spans="2:7" ht="14.25" x14ac:dyDescent="0.3">
      <c r="B25" s="78"/>
      <c r="C25" s="96"/>
      <c r="D25" s="78"/>
      <c r="E25" s="87"/>
      <c r="F25" s="78"/>
      <c r="G25" s="78"/>
    </row>
    <row r="26" spans="2:7" ht="23.25" customHeight="1" x14ac:dyDescent="0.2">
      <c r="B26" s="255" t="s">
        <v>70</v>
      </c>
      <c r="C26" s="256"/>
      <c r="D26" s="256"/>
      <c r="E26" s="256"/>
      <c r="F26" s="256"/>
      <c r="G26" s="257"/>
    </row>
    <row r="27" spans="2:7" ht="14.25" x14ac:dyDescent="0.2">
      <c r="B27" s="75" t="s">
        <v>67</v>
      </c>
      <c r="C27" s="75" t="s">
        <v>14</v>
      </c>
      <c r="D27" s="75" t="s">
        <v>66</v>
      </c>
      <c r="E27" s="258" t="s">
        <v>97</v>
      </c>
      <c r="F27" s="259"/>
      <c r="G27" s="75" t="s">
        <v>16</v>
      </c>
    </row>
    <row r="28" spans="2:7" x14ac:dyDescent="0.2">
      <c r="B28" s="55"/>
      <c r="C28" s="55"/>
      <c r="D28" s="102"/>
      <c r="E28" s="244"/>
      <c r="F28" s="245"/>
      <c r="G28" s="103"/>
    </row>
    <row r="29" spans="2:7" x14ac:dyDescent="0.2">
      <c r="B29" s="104"/>
      <c r="C29" s="55"/>
      <c r="D29" s="102"/>
      <c r="E29" s="246"/>
      <c r="F29" s="247"/>
      <c r="G29" s="103"/>
    </row>
    <row r="30" spans="2:7" x14ac:dyDescent="0.2">
      <c r="B30" s="55"/>
      <c r="C30" s="55"/>
      <c r="D30" s="55"/>
      <c r="E30" s="248"/>
      <c r="F30" s="245"/>
      <c r="G30" s="55"/>
    </row>
    <row r="31" spans="2:7" ht="88.5" customHeight="1" x14ac:dyDescent="0.2">
      <c r="B31" s="105" t="s">
        <v>62</v>
      </c>
      <c r="C31" s="249" t="s">
        <v>155</v>
      </c>
      <c r="D31" s="249"/>
      <c r="E31" s="249"/>
      <c r="F31" s="249"/>
      <c r="G31" s="249"/>
    </row>
  </sheetData>
  <mergeCells count="10">
    <mergeCell ref="E28:F28"/>
    <mergeCell ref="E29:F29"/>
    <mergeCell ref="E30:F30"/>
    <mergeCell ref="C31:G31"/>
    <mergeCell ref="B2:G2"/>
    <mergeCell ref="B3:G3"/>
    <mergeCell ref="D4:G4"/>
    <mergeCell ref="B23:G23"/>
    <mergeCell ref="B26:G26"/>
    <mergeCell ref="E27:F27"/>
  </mergeCells>
  <phoneticPr fontId="49" type="noConversion"/>
  <dataValidations count="1">
    <dataValidation type="list" allowBlank="1" showInputMessage="1" showErrorMessage="1" sqref="C5" xr:uid="{00000000-0002-0000-11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69"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58369" r:id="rId4" name="CommandButton1"/>
      </mc:Fallback>
    </mc:AlternateContent>
    <mc:AlternateContent xmlns:mc="http://schemas.openxmlformats.org/markup-compatibility/2006">
      <mc:Choice Requires="x14">
        <control shapeId="58370"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58370" r:id="rId6" name="CommandButton2"/>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50" t="s">
        <v>180</v>
      </c>
      <c r="C2" s="250"/>
      <c r="D2" s="250"/>
      <c r="E2" s="250"/>
      <c r="F2" s="250"/>
      <c r="G2" s="250"/>
    </row>
    <row r="3" spans="2:7" ht="125.25" customHeight="1" x14ac:dyDescent="0.2">
      <c r="B3" s="251" t="s">
        <v>191</v>
      </c>
      <c r="C3" s="251"/>
      <c r="D3" s="251"/>
      <c r="E3" s="251"/>
      <c r="F3" s="251"/>
      <c r="G3" s="251"/>
    </row>
    <row r="4" spans="2:7" ht="13.5" customHeight="1" x14ac:dyDescent="0.2">
      <c r="B4" s="81"/>
      <c r="C4" s="82"/>
      <c r="D4" s="252"/>
      <c r="E4" s="253"/>
      <c r="F4" s="253"/>
      <c r="G4" s="254"/>
    </row>
    <row r="5" spans="2:7" ht="14.25" x14ac:dyDescent="0.3">
      <c r="B5" s="83" t="s">
        <v>14</v>
      </c>
      <c r="C5" s="72" t="s">
        <v>170</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1</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149</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42900</v>
      </c>
      <c r="D13" s="96">
        <v>42900</v>
      </c>
      <c r="E13" s="97"/>
      <c r="F13" s="85"/>
      <c r="G13" s="86"/>
    </row>
    <row r="14" spans="2:7" ht="14.25" x14ac:dyDescent="0.3">
      <c r="B14" s="98" t="s">
        <v>74</v>
      </c>
      <c r="C14" s="96">
        <v>42901</v>
      </c>
      <c r="D14" s="96">
        <v>42907</v>
      </c>
      <c r="E14" s="84"/>
      <c r="F14" s="85"/>
      <c r="G14" s="86"/>
    </row>
    <row r="15" spans="2:7" ht="14.25" x14ac:dyDescent="0.3">
      <c r="B15" s="95" t="s">
        <v>73</v>
      </c>
      <c r="C15" s="96">
        <v>42905</v>
      </c>
      <c r="D15" s="96">
        <v>42907</v>
      </c>
      <c r="E15" s="97"/>
      <c r="F15" s="85"/>
      <c r="G15" s="86"/>
    </row>
    <row r="16" spans="2:7" ht="14.25" x14ac:dyDescent="0.3">
      <c r="B16" s="98" t="s">
        <v>19</v>
      </c>
      <c r="C16" s="96">
        <v>42908</v>
      </c>
      <c r="D16" s="96">
        <v>42908</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176</v>
      </c>
      <c r="C19" s="101">
        <v>42888</v>
      </c>
      <c r="D19" s="80" t="s">
        <v>177</v>
      </c>
      <c r="E19" s="80" t="s">
        <v>178</v>
      </c>
      <c r="F19" s="80" t="s">
        <v>179</v>
      </c>
      <c r="G19" s="80"/>
    </row>
    <row r="20" spans="2:7" ht="22.5" x14ac:dyDescent="0.2">
      <c r="B20" s="80" t="s">
        <v>167</v>
      </c>
      <c r="C20" s="101">
        <v>42877</v>
      </c>
      <c r="D20" s="80" t="s">
        <v>190</v>
      </c>
      <c r="E20" s="80" t="s">
        <v>163</v>
      </c>
      <c r="F20" s="80" t="s">
        <v>165</v>
      </c>
      <c r="G20" s="80"/>
    </row>
    <row r="21" spans="2:7" ht="25.5" customHeight="1" x14ac:dyDescent="0.2">
      <c r="B21" s="255" t="s">
        <v>150</v>
      </c>
      <c r="C21" s="256"/>
      <c r="D21" s="256"/>
      <c r="E21" s="256"/>
      <c r="F21" s="256"/>
      <c r="G21" s="257"/>
    </row>
    <row r="22" spans="2:7" ht="28.5" x14ac:dyDescent="0.2">
      <c r="B22" s="75" t="s">
        <v>151</v>
      </c>
      <c r="C22" s="75" t="s">
        <v>52</v>
      </c>
      <c r="D22" s="75" t="s">
        <v>54</v>
      </c>
      <c r="E22" s="75" t="s">
        <v>152</v>
      </c>
      <c r="F22" s="75" t="s">
        <v>99</v>
      </c>
      <c r="G22" s="75" t="s">
        <v>153</v>
      </c>
    </row>
    <row r="23" spans="2:7" ht="14.25" x14ac:dyDescent="0.3">
      <c r="B23" s="78"/>
      <c r="C23" s="96"/>
      <c r="D23" s="78"/>
      <c r="E23" s="87"/>
      <c r="F23" s="78"/>
      <c r="G23" s="78"/>
    </row>
    <row r="24" spans="2:7" ht="23.25" customHeight="1" x14ac:dyDescent="0.2">
      <c r="B24" s="255" t="s">
        <v>70</v>
      </c>
      <c r="C24" s="256"/>
      <c r="D24" s="256"/>
      <c r="E24" s="256"/>
      <c r="F24" s="256"/>
      <c r="G24" s="257"/>
    </row>
    <row r="25" spans="2:7" ht="14.25" x14ac:dyDescent="0.2">
      <c r="B25" s="75" t="s">
        <v>67</v>
      </c>
      <c r="C25" s="75" t="s">
        <v>14</v>
      </c>
      <c r="D25" s="75" t="s">
        <v>66</v>
      </c>
      <c r="E25" s="258" t="s">
        <v>97</v>
      </c>
      <c r="F25" s="259"/>
      <c r="G25" s="75" t="s">
        <v>16</v>
      </c>
    </row>
    <row r="26" spans="2:7" x14ac:dyDescent="0.2">
      <c r="B26" s="55" t="s">
        <v>181</v>
      </c>
      <c r="C26" s="55" t="s">
        <v>182</v>
      </c>
      <c r="D26" s="102">
        <v>42908</v>
      </c>
      <c r="E26" s="244" t="s">
        <v>183</v>
      </c>
      <c r="F26" s="245"/>
      <c r="G26" s="103"/>
    </row>
    <row r="27" spans="2:7" x14ac:dyDescent="0.2">
      <c r="B27" s="104" t="s">
        <v>184</v>
      </c>
      <c r="C27" s="55" t="s">
        <v>185</v>
      </c>
      <c r="D27" s="102">
        <v>42908</v>
      </c>
      <c r="E27" s="246" t="s">
        <v>186</v>
      </c>
      <c r="F27" s="247"/>
      <c r="G27" s="103"/>
    </row>
    <row r="28" spans="2:7" x14ac:dyDescent="0.2">
      <c r="B28" s="55"/>
      <c r="C28" s="55"/>
      <c r="D28" s="55"/>
      <c r="E28" s="248"/>
      <c r="F28" s="245"/>
      <c r="G28" s="55"/>
    </row>
    <row r="29" spans="2:7" ht="88.5" customHeight="1" x14ac:dyDescent="0.2">
      <c r="B29" s="105" t="s">
        <v>62</v>
      </c>
      <c r="C29" s="249" t="s">
        <v>155</v>
      </c>
      <c r="D29" s="249"/>
      <c r="E29" s="249"/>
      <c r="F29" s="249"/>
      <c r="G29" s="249"/>
    </row>
  </sheetData>
  <mergeCells count="10">
    <mergeCell ref="E25:F25"/>
    <mergeCell ref="E26:F26"/>
    <mergeCell ref="C29:G29"/>
    <mergeCell ref="B2:G2"/>
    <mergeCell ref="E27:F27"/>
    <mergeCell ref="E28:F28"/>
    <mergeCell ref="B3:G3"/>
    <mergeCell ref="D4:G4"/>
    <mergeCell ref="B21:G21"/>
    <mergeCell ref="B24:G24"/>
  </mergeCells>
  <phoneticPr fontId="46" type="noConversion"/>
  <dataValidations count="1">
    <dataValidation type="list" allowBlank="1" showInputMessage="1" showErrorMessage="1" sqref="C5" xr:uid="{00000000-0002-0000-12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196" r:id="rId4" name="CommandButton1">
          <controlPr autoLine="0" r:id="rId5">
            <anchor moveWithCells="1">
              <from>
                <xdr:col>10</xdr:col>
                <xdr:colOff>9525</xdr:colOff>
                <xdr:row>0</xdr:row>
                <xdr:rowOff>0</xdr:rowOff>
              </from>
              <to>
                <xdr:col>13</xdr:col>
                <xdr:colOff>171450</xdr:colOff>
                <xdr:row>1</xdr:row>
                <xdr:rowOff>123825</xdr:rowOff>
              </to>
            </anchor>
          </controlPr>
        </control>
      </mc:Choice>
      <mc:Fallback>
        <control shapeId="8196" r:id="rId4" name="CommandButton1"/>
      </mc:Fallback>
    </mc:AlternateContent>
    <mc:AlternateContent xmlns:mc="http://schemas.openxmlformats.org/markup-compatibility/2006">
      <mc:Choice Requires="x14">
        <control shapeId="8208" r:id="rId6" name="CommandButton2">
          <controlPr autoLine="0" r:id="rId7">
            <anchor moveWithCells="1">
              <from>
                <xdr:col>14</xdr:col>
                <xdr:colOff>28575</xdr:colOff>
                <xdr:row>0</xdr:row>
                <xdr:rowOff>0</xdr:rowOff>
              </from>
              <to>
                <xdr:col>17</xdr:col>
                <xdr:colOff>190500</xdr:colOff>
                <xdr:row>1</xdr:row>
                <xdr:rowOff>123825</xdr:rowOff>
              </to>
            </anchor>
          </controlPr>
        </control>
      </mc:Choice>
      <mc:Fallback>
        <control shapeId="8208" r:id="rId6" name="CommandButton2"/>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1"/>
  <dimension ref="B2:I23"/>
  <sheetViews>
    <sheetView workbookViewId="0">
      <selection activeCell="Q7" sqref="Q7"/>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95" t="s">
        <v>123</v>
      </c>
      <c r="C2" s="296"/>
      <c r="D2" s="296"/>
    </row>
    <row r="3" spans="2:9" ht="5.25" customHeight="1" x14ac:dyDescent="0.2"/>
    <row r="4" spans="2:9" x14ac:dyDescent="0.2">
      <c r="B4" s="57" t="s">
        <v>124</v>
      </c>
      <c r="C4" s="57" t="s">
        <v>125</v>
      </c>
      <c r="D4" s="67" t="s">
        <v>143</v>
      </c>
      <c r="I4" s="58"/>
    </row>
    <row r="5" spans="2:9" x14ac:dyDescent="0.2">
      <c r="B5" s="59"/>
      <c r="C5" s="59"/>
      <c r="D5" s="68"/>
      <c r="I5" s="58"/>
    </row>
    <row r="6" spans="2:9" x14ac:dyDescent="0.2">
      <c r="B6" s="59"/>
      <c r="C6" s="59"/>
      <c r="D6" s="68"/>
      <c r="I6" s="58"/>
    </row>
    <row r="7" spans="2:9" x14ac:dyDescent="0.2">
      <c r="B7" s="59"/>
      <c r="C7" s="59"/>
      <c r="D7" s="68"/>
      <c r="I7" s="58"/>
    </row>
    <row r="8" spans="2:9" x14ac:dyDescent="0.2">
      <c r="B8" s="59"/>
      <c r="C8" s="59"/>
      <c r="D8" s="68"/>
      <c r="I8" s="58"/>
    </row>
    <row r="10" spans="2:9" x14ac:dyDescent="0.2">
      <c r="B10" s="297" t="s">
        <v>142</v>
      </c>
      <c r="C10" s="296"/>
      <c r="D10" s="296"/>
      <c r="F10" s="60"/>
    </row>
    <row r="11" spans="2:9" ht="3.75" customHeight="1" x14ac:dyDescent="0.2"/>
    <row r="12" spans="2:9" x14ac:dyDescent="0.2">
      <c r="B12" s="57" t="s">
        <v>128</v>
      </c>
      <c r="C12" s="57" t="s">
        <v>129</v>
      </c>
      <c r="D12" s="57" t="s">
        <v>130</v>
      </c>
    </row>
    <row r="13" spans="2:9" x14ac:dyDescent="0.2">
      <c r="B13" s="61" t="s">
        <v>131</v>
      </c>
      <c r="C13" s="9"/>
      <c r="D13" s="9"/>
    </row>
    <row r="14" spans="2:9" x14ac:dyDescent="0.2">
      <c r="B14" s="48" t="s">
        <v>132</v>
      </c>
      <c r="C14" s="9"/>
      <c r="D14" s="9"/>
    </row>
    <row r="15" spans="2:9" x14ac:dyDescent="0.2">
      <c r="B15" s="48" t="s">
        <v>133</v>
      </c>
      <c r="C15" s="9"/>
      <c r="D15" s="9"/>
    </row>
    <row r="16" spans="2:9" x14ac:dyDescent="0.2">
      <c r="B16" s="61" t="s">
        <v>134</v>
      </c>
      <c r="C16" s="9"/>
      <c r="D16" s="9"/>
    </row>
    <row r="17" spans="2:8" x14ac:dyDescent="0.2">
      <c r="B17" s="61" t="s">
        <v>135</v>
      </c>
      <c r="C17" s="9"/>
      <c r="D17" s="9"/>
    </row>
    <row r="18" spans="2:8" x14ac:dyDescent="0.2">
      <c r="B18" s="62"/>
      <c r="C18" s="23"/>
      <c r="D18" s="23"/>
    </row>
    <row r="19" spans="2:8" x14ac:dyDescent="0.2">
      <c r="B19" s="63" t="s">
        <v>136</v>
      </c>
    </row>
    <row r="21" spans="2:8" ht="73.5" customHeight="1" x14ac:dyDescent="0.2">
      <c r="B21" s="64" t="s">
        <v>137</v>
      </c>
      <c r="C21" s="291" t="s">
        <v>145</v>
      </c>
      <c r="D21" s="292"/>
      <c r="E21" s="292"/>
      <c r="F21" s="292"/>
      <c r="G21" s="292"/>
      <c r="H21" s="292"/>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0"/>
  <dimension ref="A1:O94"/>
  <sheetViews>
    <sheetView topLeftCell="A108" workbookViewId="0">
      <selection activeCell="Q7" sqref="Q7"/>
    </sheetView>
  </sheetViews>
  <sheetFormatPr defaultRowHeight="12.75" x14ac:dyDescent="0.2"/>
  <sheetData>
    <row r="1" spans="1:15" s="52" customFormat="1" ht="36.75" customHeight="1" x14ac:dyDescent="0.2">
      <c r="A1" s="298" t="s">
        <v>139</v>
      </c>
      <c r="B1" s="299"/>
      <c r="C1" s="299"/>
      <c r="D1" s="299"/>
      <c r="E1" s="299"/>
      <c r="F1" s="299"/>
      <c r="G1" s="299"/>
      <c r="H1" s="299"/>
      <c r="I1" s="299"/>
      <c r="J1" s="299"/>
      <c r="K1" s="299"/>
      <c r="L1" s="299"/>
      <c r="M1" s="299"/>
      <c r="N1" s="299"/>
      <c r="O1" s="299"/>
    </row>
    <row r="2" spans="1:15" s="66" customFormat="1" ht="18" customHeight="1" x14ac:dyDescent="0.2">
      <c r="A2" s="302" t="s">
        <v>138</v>
      </c>
      <c r="B2" s="303"/>
      <c r="C2" s="303"/>
      <c r="D2" s="303"/>
      <c r="E2" s="303"/>
      <c r="F2" s="303"/>
      <c r="G2" s="303"/>
      <c r="H2" s="303"/>
      <c r="I2" s="303"/>
      <c r="J2" s="303"/>
      <c r="K2" s="303"/>
      <c r="L2" s="303"/>
      <c r="M2" s="303"/>
      <c r="N2" s="303"/>
      <c r="O2" s="303"/>
    </row>
    <row r="36" spans="1:15" ht="10.5" customHeight="1" x14ac:dyDescent="0.2"/>
    <row r="38" spans="1:15" s="65" customFormat="1" ht="18" customHeight="1" x14ac:dyDescent="0.2">
      <c r="A38" s="302" t="s">
        <v>140</v>
      </c>
      <c r="B38" s="303"/>
      <c r="C38" s="303"/>
      <c r="D38" s="303"/>
      <c r="E38" s="303"/>
      <c r="F38" s="303"/>
      <c r="G38" s="303"/>
      <c r="H38" s="303"/>
      <c r="I38" s="303"/>
      <c r="J38" s="303"/>
      <c r="K38" s="303"/>
      <c r="L38" s="303"/>
      <c r="M38" s="303"/>
      <c r="N38" s="303"/>
      <c r="O38" s="303"/>
    </row>
    <row r="72" spans="1:15" s="52" customFormat="1" ht="27" customHeight="1" x14ac:dyDescent="0.2">
      <c r="A72" s="300" t="s">
        <v>90</v>
      </c>
      <c r="B72" s="299"/>
      <c r="C72" s="299"/>
      <c r="D72" s="299"/>
      <c r="E72" s="299"/>
      <c r="F72" s="299"/>
      <c r="G72" s="299"/>
      <c r="H72" s="299"/>
      <c r="I72" s="299"/>
      <c r="J72" s="299"/>
      <c r="K72" s="299"/>
      <c r="L72" s="299"/>
      <c r="M72" s="299"/>
      <c r="N72" s="299"/>
      <c r="O72" s="299"/>
    </row>
    <row r="73" spans="1:15" ht="58.5" customHeight="1" x14ac:dyDescent="0.2">
      <c r="A73" s="301" t="s">
        <v>91</v>
      </c>
      <c r="B73" s="299"/>
      <c r="C73" s="299"/>
      <c r="D73" s="299"/>
      <c r="E73" s="299"/>
      <c r="F73" s="299"/>
      <c r="G73" s="299"/>
      <c r="H73" s="299"/>
      <c r="I73" s="299"/>
      <c r="J73" s="299"/>
      <c r="K73" s="299"/>
      <c r="L73" s="299"/>
      <c r="M73" s="299"/>
      <c r="N73" s="299"/>
      <c r="O73" s="299"/>
    </row>
    <row r="89" spans="1:15" x14ac:dyDescent="0.2">
      <c r="A89" s="10"/>
      <c r="B89" s="10"/>
      <c r="C89" s="10"/>
      <c r="D89" s="10"/>
      <c r="E89" s="10"/>
      <c r="F89" s="10"/>
      <c r="G89" s="10"/>
      <c r="H89" s="10"/>
      <c r="I89" s="10"/>
      <c r="J89" s="10"/>
      <c r="K89" s="10"/>
      <c r="L89" s="10"/>
      <c r="M89" s="10"/>
      <c r="N89" s="10"/>
    </row>
    <row r="94" spans="1:15" ht="48.75" customHeight="1" x14ac:dyDescent="0.2">
      <c r="A94" s="301" t="s">
        <v>92</v>
      </c>
      <c r="B94" s="299"/>
      <c r="C94" s="299"/>
      <c r="D94" s="299"/>
      <c r="E94" s="299"/>
      <c r="F94" s="299"/>
      <c r="G94" s="299"/>
      <c r="H94" s="299"/>
      <c r="I94" s="299"/>
      <c r="J94" s="299"/>
      <c r="K94" s="299"/>
      <c r="L94" s="299"/>
      <c r="M94" s="299"/>
      <c r="N94" s="299"/>
      <c r="O94" s="299"/>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5"/>
  <dimension ref="A1:F1"/>
  <sheetViews>
    <sheetView workbookViewId="0"/>
  </sheetViews>
  <sheetFormatPr defaultRowHeight="12.75" x14ac:dyDescent="0.2"/>
  <cols>
    <col min="1" max="1" width="35.5703125" customWidth="1"/>
  </cols>
  <sheetData>
    <row r="1" spans="1:6" ht="156.75" x14ac:dyDescent="0.2">
      <c r="A1" s="161" t="s">
        <v>311</v>
      </c>
      <c r="B1" s="162"/>
      <c r="C1" s="162"/>
      <c r="D1" s="162"/>
      <c r="E1" s="162"/>
      <c r="F1" s="162"/>
    </row>
  </sheetData>
  <sheetProtection sheet="1" objects="1" scenarios="1"/>
  <phoneticPr fontId="1" type="noConversion"/>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95" t="s">
        <v>123</v>
      </c>
      <c r="C2" s="296"/>
      <c r="D2" s="296"/>
    </row>
    <row r="3" spans="2:9" ht="5.25" customHeight="1" x14ac:dyDescent="0.2"/>
    <row r="4" spans="2:9" x14ac:dyDescent="0.2">
      <c r="B4" s="57" t="s">
        <v>124</v>
      </c>
      <c r="C4" s="57" t="s">
        <v>125</v>
      </c>
      <c r="D4" s="57" t="s">
        <v>126</v>
      </c>
      <c r="I4" s="58"/>
    </row>
    <row r="5" spans="2:9" x14ac:dyDescent="0.2">
      <c r="B5" s="59"/>
      <c r="C5" s="59"/>
      <c r="D5" s="59"/>
      <c r="I5" s="58"/>
    </row>
    <row r="6" spans="2:9" x14ac:dyDescent="0.2">
      <c r="B6" s="59"/>
      <c r="C6" s="59"/>
      <c r="D6" s="59"/>
      <c r="I6" s="58"/>
    </row>
    <row r="7" spans="2:9" x14ac:dyDescent="0.2">
      <c r="B7" s="59"/>
      <c r="C7" s="59"/>
      <c r="D7" s="59"/>
      <c r="I7" s="58"/>
    </row>
    <row r="8" spans="2:9" x14ac:dyDescent="0.2">
      <c r="B8" s="59"/>
      <c r="C8" s="59"/>
      <c r="D8" s="59"/>
      <c r="I8" s="58"/>
    </row>
    <row r="10" spans="2:9" x14ac:dyDescent="0.2">
      <c r="B10" s="295" t="s">
        <v>127</v>
      </c>
      <c r="C10" s="296"/>
      <c r="D10" s="296"/>
      <c r="F10" s="60"/>
    </row>
    <row r="11" spans="2:9" ht="3.75" customHeight="1" x14ac:dyDescent="0.2"/>
    <row r="12" spans="2:9" x14ac:dyDescent="0.2">
      <c r="B12" s="57" t="s">
        <v>128</v>
      </c>
      <c r="C12" s="57" t="s">
        <v>129</v>
      </c>
      <c r="D12" s="57" t="s">
        <v>130</v>
      </c>
    </row>
    <row r="13" spans="2:9" x14ac:dyDescent="0.2">
      <c r="B13" s="61" t="s">
        <v>131</v>
      </c>
      <c r="C13" s="9"/>
      <c r="D13" s="9"/>
    </row>
    <row r="14" spans="2:9" x14ac:dyDescent="0.2">
      <c r="B14" s="48" t="s">
        <v>132</v>
      </c>
      <c r="C14" s="9"/>
      <c r="D14" s="9"/>
    </row>
    <row r="15" spans="2:9" x14ac:dyDescent="0.2">
      <c r="B15" s="48" t="s">
        <v>133</v>
      </c>
      <c r="C15" s="9"/>
      <c r="D15" s="9"/>
    </row>
    <row r="16" spans="2:9" x14ac:dyDescent="0.2">
      <c r="B16" s="61" t="s">
        <v>134</v>
      </c>
      <c r="C16" s="9"/>
      <c r="D16" s="9"/>
    </row>
    <row r="17" spans="2:8" x14ac:dyDescent="0.2">
      <c r="B17" s="61" t="s">
        <v>135</v>
      </c>
      <c r="C17" s="9"/>
      <c r="D17" s="9"/>
    </row>
    <row r="18" spans="2:8" x14ac:dyDescent="0.2">
      <c r="B18" s="62"/>
      <c r="C18" s="23"/>
      <c r="D18" s="23"/>
    </row>
    <row r="19" spans="2:8" x14ac:dyDescent="0.2">
      <c r="B19" s="63" t="s">
        <v>136</v>
      </c>
    </row>
    <row r="21" spans="2:8" ht="73.5" customHeight="1" x14ac:dyDescent="0.2">
      <c r="B21" s="64" t="s">
        <v>137</v>
      </c>
      <c r="C21" s="291" t="s">
        <v>144</v>
      </c>
      <c r="D21" s="292"/>
      <c r="E21" s="292"/>
      <c r="F21" s="292"/>
      <c r="G21" s="292"/>
      <c r="H21" s="292"/>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24</vt:i4>
      </vt:variant>
      <vt:variant>
        <vt:lpstr>命名范围</vt:lpstr>
      </vt:variant>
      <vt:variant>
        <vt:i4>1</vt:i4>
      </vt:variant>
    </vt:vector>
  </HeadingPairs>
  <TitlesOfParts>
    <vt:vector size="25" baseType="lpstr">
      <vt:lpstr>版本冻结公告-复制模板 (backup)</vt:lpstr>
      <vt:lpstr>版本冻结公告-复制模板</vt:lpstr>
      <vt:lpstr>版本控制</vt:lpstr>
      <vt:lpstr>例行版本计划</vt:lpstr>
      <vt:lpstr>ISR清单</vt:lpstr>
      <vt:lpstr>缺陷及问题清单</vt:lpstr>
      <vt:lpstr>本月退回ISR清单</vt:lpstr>
      <vt:lpstr>待处理ISR清单</vt:lpstr>
      <vt:lpstr>XX版本冻结公告</vt:lpstr>
      <vt:lpstr>历史信息</vt:lpstr>
      <vt:lpstr>版本冻结公告-v6.17.0</vt:lpstr>
      <vt:lpstr>版本冻结公告-v6.15.0</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textcontent</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2019-01-02T02:02:38Z</dcterms:modified>
</cp:coreProperties>
</file>