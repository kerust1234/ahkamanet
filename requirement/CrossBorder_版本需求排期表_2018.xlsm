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xr:revisionPtr revIDLastSave="0" documentId="13_ncr:1_{8C6E1178-202A-42D7-B23A-C7C21DF3289E}" xr6:coauthVersionLast="38" xr6:coauthVersionMax="38" xr10:uidLastSave="{00000000-0000-0000-0000-000000000000}"/>
  <bookViews>
    <workbookView xWindow="0" yWindow="810" windowWidth="9615" windowHeight="8700" tabRatio="781" firstSheet="3" activeTab="9" xr2:uid="{00000000-000D-0000-FFFF-FFFF00000000}"/>
  </bookViews>
  <sheets>
    <sheet name="版本冻结公告-复制模板" sheetId="38" r:id="rId1"/>
    <sheet name="版本控制" sheetId="4" r:id="rId2"/>
    <sheet name="例行版本计划" sheetId="14" r:id="rId3"/>
    <sheet name="ISR清单" sheetId="21" r:id="rId4"/>
    <sheet name="缺陷及问题清单" sheetId="22" r:id="rId5"/>
    <sheet name="本月退回ISR清单" sheetId="23" r:id="rId6"/>
    <sheet name="待处理ISR清单" sheetId="24" r:id="rId7"/>
    <sheet name="XX版本冻结公告" sheetId="20" state="hidden" r:id="rId8"/>
    <sheet name="历史信息" sheetId="19" state="hidden" r:id="rId9"/>
    <sheet name="版本冻结公告-v1.29.0" sheetId="41" r:id="rId10"/>
    <sheet name="版本冻结公告-v1.28.0" sheetId="39" r:id="rId11"/>
    <sheet name="v1.27.0版本冻结公告" sheetId="37" r:id="rId12"/>
    <sheet name="v1.24.0版本冻结公告" sheetId="36" r:id="rId13"/>
    <sheet name="v1.23.0版本冻结公告" sheetId="35" r:id="rId14"/>
    <sheet name="v1.22.0版本冻结公告" sheetId="34" r:id="rId15"/>
    <sheet name="v1.19.0版本冻结公告" sheetId="32" r:id="rId16"/>
    <sheet name="v1.18.0版本冻结公告" sheetId="31" r:id="rId17"/>
    <sheet name="v1.17.0版本冻结公告" sheetId="16" r:id="rId18"/>
    <sheet name="XXX版本冻结公告（变更）" sheetId="28" r:id="rId19"/>
    <sheet name="邮件规范及操作指引" sheetId="27" r:id="rId20"/>
    <sheet name="textcontent" sheetId="40" r:id="rId21"/>
    <sheet name="XX版本冻结公告(变更)" sheetId="29" state="hidden" r:id="rId22"/>
  </sheets>
  <functionGroups builtInGroupCount="19"/>
  <externalReferences>
    <externalReference r:id="rId23"/>
  </externalReferences>
  <definedNames>
    <definedName name="版本名称" localSheetId="20">[1]例行版本计划!$A$11:$A$71</definedName>
    <definedName name="版本名称" localSheetId="10">[1]例行版本计划!$A$11:$A$71</definedName>
    <definedName name="版本名称" localSheetId="9">[1]例行版本计划!$A$11:$A$71</definedName>
    <definedName name="版本名称" localSheetId="0">[1]例行版本计划!$A$11:$A$71</definedName>
    <definedName name="版本名称">例行版本计划!$A$11:$A$74</definedName>
    <definedName name="版本名称1">例行版本计划!$A$11:$A$74</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9" i="41" l="1"/>
  <c r="C8" i="41"/>
  <c r="C7" i="41"/>
  <c r="C6" i="41"/>
  <c r="C6" i="39" l="1"/>
  <c r="C8" i="39"/>
  <c r="C7" i="39"/>
  <c r="C9" i="39" l="1"/>
  <c r="C9" i="38"/>
  <c r="C8" i="38"/>
  <c r="C7" i="38"/>
  <c r="C6" i="38"/>
  <c r="C8" i="37" l="1"/>
  <c r="C7" i="37"/>
  <c r="C6" i="37"/>
  <c r="C8" i="36" l="1"/>
  <c r="C7" i="36"/>
  <c r="C6" i="36"/>
  <c r="C8" i="35"/>
  <c r="C7" i="35"/>
  <c r="C6" i="35"/>
  <c r="C8" i="34"/>
  <c r="C7" i="34"/>
  <c r="C6" i="34"/>
  <c r="C8" i="32"/>
  <c r="C7" i="32"/>
  <c r="C6" i="32"/>
  <c r="C8" i="31"/>
  <c r="C7" i="31"/>
  <c r="C6" i="31"/>
  <c r="C8" i="20"/>
  <c r="C7" i="20"/>
  <c r="C6" i="20"/>
  <c r="C8" i="16"/>
  <c r="C7" i="16"/>
  <c r="C6" i="16"/>
  <c r="C7" i="24"/>
  <c r="C6" i="24"/>
  <c r="C5" i="24"/>
  <c r="C5" i="23"/>
  <c r="C9"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0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0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0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0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0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Amway</author>
    <author>Kerust</author>
  </authors>
  <commentList>
    <comment ref="A10" authorId="0" shapeId="0" xr:uid="{00000000-0006-0000-0200-00000100000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xr:uid="{00000000-0006-0000-0200-00000200000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注</author>
    <author>刘健忠</author>
  </authors>
  <commentList>
    <comment ref="C3" authorId="0" shapeId="0" xr:uid="{00000000-0006-0000-0300-00000100000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xr:uid="{00000000-0006-0000-0300-00000200000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xr:uid="{00000000-0006-0000-0300-00000300000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xr:uid="{00000000-0006-0000-0300-000004000000}">
      <text>
        <r>
          <rPr>
            <b/>
            <sz val="9"/>
            <color indexed="81"/>
            <rFont val="宋体"/>
            <family val="3"/>
            <charset val="134"/>
          </rPr>
          <t>(K列“功能点数”和L列“总功能点数”选择其中一列填写)</t>
        </r>
      </text>
    </comment>
    <comment ref="M3" authorId="1" shapeId="0" xr:uid="{00000000-0006-0000-0300-000005000000}">
      <text>
        <r>
          <rPr>
            <b/>
            <sz val="9"/>
            <color indexed="81"/>
            <rFont val="宋体"/>
            <family val="3"/>
            <charset val="134"/>
          </rPr>
          <t>(K列“功能点数”和L列“总功能点数”选择其中一列填写)</t>
        </r>
      </text>
    </comment>
    <comment ref="R3" authorId="1" shapeId="0" xr:uid="{00000000-0006-0000-0300-00000600000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刘健忠</author>
  </authors>
  <commentList>
    <comment ref="K4" authorId="0" shapeId="0" xr:uid="{00000000-0006-0000-0400-000001000000}">
      <text>
        <r>
          <rPr>
            <b/>
            <sz val="9"/>
            <color indexed="81"/>
            <rFont val="宋体"/>
            <family val="3"/>
            <charset val="134"/>
          </rPr>
          <t>(K列“功能点数”和L列“总功能点数”选择其中一列填写)</t>
        </r>
      </text>
    </comment>
    <comment ref="L4" authorId="0" shapeId="0" xr:uid="{00000000-0006-0000-0400-00000200000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500-00000100000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6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xr:uid="{00000000-0006-0000-06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xr:uid="{00000000-0006-0000-06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xr:uid="{00000000-0006-0000-0600-00000400000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7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7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7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7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7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I1" authorId="0" shapeId="0" xr:uid="{00000000-0006-0000-0800-00000100000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xr:uid="{00000000-0006-0000-0800-00000200000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xr:uid="{00000000-0006-0000-0800-00000300000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F583993E-CEAC-427E-B023-875020567C17}">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DDAE2C51-7ADE-4641-AB0E-18E599B9C9F3}">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BD98E64A-7828-4876-82FC-3B308418C054}">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A5348A2D-2D8E-4418-93D4-E490372601FF}">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C84F9A82-D936-4F56-BCFC-25555EC8439E}">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9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9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9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9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9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A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A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A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A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A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B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B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B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B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B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C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C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C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C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C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D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D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D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D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D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E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E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E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E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E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F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F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F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F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F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0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0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0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0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0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<sst xmlns="http://schemas.openxmlformats.org/spreadsheetml/2006/main" count="783" uniqueCount="330">
  <si>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</si>
  <si>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</si>
  <si>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</si>
  <si>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</si>
  <si>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</si>
  <si>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</si>
  <si>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</si>
  <si>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</si>
  <si>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</si>
  <si>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</si>
  <si>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</si>
  <si>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</si>
  <si>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</si>
  <si>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</si>
  <si>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</si>
  <si>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</si>
  <si>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</si>
  <si>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</si>
  <si>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</si>
  <si>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</si>
  <si>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</si>
  <si>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</si>
  <si>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</si>
  <si>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</si>
  <si>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</si>
  <si>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</si>
  <si>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</si>
  <si>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</si>
  <si>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</si>
  <si>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</si>
  <si>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</si>
  <si>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</si>
  <si>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</si>
  <si>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</si>
  <si>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</si>
  <si>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</si>
  <si>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</si>
  <si>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</si>
  <si>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</si>
  <si>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</si>
  <si>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</si>
  <si>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</si>
  <si>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</si>
  <si>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</si>
  <si>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</si>
  <si>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</si>
  <si>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</si>
  <si>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</si>
  <si>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</si>
  <si>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</si>
  <si>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</si>
  <si>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</si>
  <si>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</si>
  <si>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</si>
  <si>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</si>
  <si>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</si>
  <si>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</si>
  <si>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</si>
  <si>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</si>
  <si>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</si>
  <si>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</si>
  <si>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</si>
  <si>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</si>
  <si>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</si>
  <si>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</si>
  <si>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</si>
  <si>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</si>
  <si>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</si>
  <si>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</si>
  <si>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</si>
  <si>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</si>
  <si>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</si>
  <si>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</si>
  <si>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</si>
  <si>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</si>
  <si>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</si>
  <si>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</si>
  <si>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</si>
  <si>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</si>
  <si>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</si>
  <si>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</si>
  <si>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</si>
  <si>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</si>
  <si>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</si>
  <si>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</si>
  <si>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</si>
  <si>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</si>
  <si>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</si>
  <si>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</si>
  <si>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</si>
  <si>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</si>
  <si>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</si>
  <si>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</si>
  <si>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</si>
  <si>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</si>
  <si>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</si>
  <si>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</si>
  <si>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</si>
  <si>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</si>
  <si>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</si>
  <si>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</si>
  <si>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</si>
  <si>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</si>
  <si>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</si>
  <si>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</si>
  <si>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</si>
  <si>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</si>
  <si>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</si>
  <si>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</si>
  <si>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</si>
  <si>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</si>
  <si>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</si>
  <si>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</si>
  <si>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</si>
  <si>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</si>
  <si>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</si>
  <si>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</si>
  <si>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</si>
  <si>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</si>
  <si>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</si>
  <si>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</si>
  <si>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</si>
  <si>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</si>
  <si>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</si>
  <si>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</si>
  <si>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</si>
  <si>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</si>
  <si>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</si>
  <si>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</si>
  <si>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</si>
  <si>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</si>
  <si>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</si>
  <si>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</si>
  <si>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</si>
  <si>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</si>
  <si>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</si>
  <si>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</si>
  <si>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</si>
  <si>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</si>
  <si>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</si>
  <si>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</si>
  <si>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</si>
  <si>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</si>
  <si>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</si>
  <si>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</si>
  <si>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</si>
  <si>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</si>
  <si>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</si>
  <si>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</si>
  <si>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</si>
  <si>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</si>
  <si>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</si>
  <si>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</si>
  <si>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</si>
  <si>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</si>
  <si>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</si>
  <si>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</si>
  <si>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</si>
  <si>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</si>
  <si>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</si>
  <si>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</si>
  <si>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</si>
  <si>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</si>
  <si>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</si>
  <si>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</si>
  <si>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</si>
  <si>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</si>
  <si>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</si>
  <si>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</si>
  <si>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</si>
  <si>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</si>
  <si>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</si>
  <si>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</si>
  <si>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</si>
  <si>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</si>
  <si>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</si>
  <si>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</si>
  <si>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</si>
  <si>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</si>
  <si>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</si>
  <si>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</si>
  <si>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</si>
  <si>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</si>
  <si>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</si>
  <si>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</si>
  <si>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</si>
  <si>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</si>
  <si>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</si>
  <si>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</si>
  <si>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</si>
  <si>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</si>
  <si>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</si>
  <si>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</si>
  <si>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</si>
  <si>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</si>
  <si>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</si>
  <si>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</si>
  <si>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</si>
  <si>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</si>
  <si>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</si>
  <si>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</si>
  <si>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</si>
  <si>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</si>
  <si>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</si>
  <si>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</si>
  <si>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</si>
  <si>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</si>
  <si>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</si>
  <si>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</si>
  <si>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</si>
  <si>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</si>
  <si>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</si>
  <si>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</si>
  <si>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</si>
  <si>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</si>
  <si>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</si>
  <si>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</si>
  <si>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</si>
  <si>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</si>
  <si>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</si>
  <si>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</si>
  <si>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</si>
  <si>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</si>
  <si>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</si>
  <si>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</si>
  <si>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</si>
  <si>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</si>
  <si>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</si>
  <si>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</si>
  <si>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</si>
  <si>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</si>
  <si>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</si>
  <si>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</si>
  <si>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</si>
  <si>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</si>
  <si>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</si>
  <si>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</si>
  <si>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</si>
  <si>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</si>
  <si>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</si>
  <si>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</si>
  <si>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</si>
  <si>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</si>
  <si>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</si>
  <si>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</si>
  <si>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</si>
  <si>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</si>
  <si>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</si>
  <si>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</si>
  <si>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</si>
  <si>
    <t>无法正确输入姓名问题</t>
    <phoneticPr fontId="1" type="noConversion"/>
  </si>
  <si>
    <t>微信，AA工作室跳转海外购问题</t>
  </si>
  <si>
    <t>微信，AA工作室跳转海外购问题</t>
    <phoneticPr fontId="1" type="noConversion"/>
  </si>
  <si>
    <t>安利海外购系统 5月份版本冻结公告</t>
    <phoneticPr fontId="1" type="noConversion"/>
  </si>
  <si>
    <r>
      <t>各位同事，本版本将于5月10日上线，并于5月11日正式生效。请各ISR和问题单的提交人提早预留时间，在5月8日到5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</si>
  <si>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pending</t>
    <phoneticPr fontId="1" type="noConversion"/>
  </si>
  <si>
    <r>
      <rPr>
        <sz val="10"/>
        <color indexed="12"/>
        <rFont val="宋体"/>
        <family val="3"/>
        <charset val="134"/>
      </rPr>
      <t>安利海外购</t>
    </r>
    <r>
      <rPr>
        <sz val="10"/>
        <color indexed="12"/>
        <rFont val="Arial"/>
        <family val="2"/>
      </rPr>
      <t>v1.27.0</t>
    </r>
    <phoneticPr fontId="1" type="noConversion"/>
  </si>
  <si>
    <t>海外购银联支付报文重推功能</t>
  </si>
  <si>
    <t>海外购银联支付报文重推功能</t>
    <phoneticPr fontId="1" type="noConversion"/>
  </si>
  <si>
    <t>Leo Li</t>
    <phoneticPr fontId="1" type="noConversion"/>
  </si>
  <si>
    <t>安利海外购v1.27.0</t>
  </si>
  <si>
    <t>n/a</t>
  </si>
  <si>
    <t>n/a</t>
    <phoneticPr fontId="1" type="noConversion"/>
  </si>
  <si>
    <r>
      <t>各位同事，本版本将于10月25日上线，并于10月25日正式生效。请各ISR和问题单的提交人提早预留时间，在10月23日到10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</si>
  <si>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Amanet系统版本冻结公告-11月份</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</si>
  <si>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</si>
  <si>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版本名称</t>
  </si>
  <si>
    <t>AHK AmanetV6.15.0</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</si>
  <si>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</si>
  <si>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</si>
  <si>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</si>
  <si>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</si>
  <si>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</si>
  <si>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</si>
  <si>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</si>
  <si>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</si>
  <si>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</si>
  <si>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</si>
  <si>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</si>
  <si>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</si>
  <si>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</si>
  <si>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</si>
  <si>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REQ0149577</t>
  </si>
  <si>
    <t>新銀章摘星培訓資格及版面更新</t>
  </si>
  <si>
    <t>Vicky Chiu</t>
  </si>
  <si>
    <t>SALES</t>
  </si>
  <si>
    <t>REQ0135517</t>
  </si>
  <si>
    <t>是否允許上線續約及購貨</t>
  </si>
  <si>
    <t>Sannie Li</t>
  </si>
  <si>
    <t>版本包含的问题单：</t>
  </si>
  <si>
    <t>缺陷及问题单编号</t>
  </si>
  <si>
    <t>提交时间</t>
  </si>
  <si>
    <t>缺陷及问题描述</t>
  </si>
  <si>
    <t>提出人
所属部门</t>
  </si>
  <si>
    <t>pending</t>
  </si>
  <si>
    <t>電子購貨單(本月)隱蔽了資料，在電子購貨單(過往記錄)竟然無隱蔽資料</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</si>
  <si>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</si>
  <si>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</si>
  <si>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</si>
  <si>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</si>
  <si>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</si>
  <si>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</si>
  <si>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</si>
  <si>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</si>
  <si>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</si>
  <si>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</si>
  <si>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</si>
  <si>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Pending</t>
    <phoneticPr fontId="1" type="noConversion"/>
  </si>
  <si>
    <t>支付申报海关与国检的功能POS迁移</t>
  </si>
  <si>
    <t>支付申报海关与国检的功能POS迁移</t>
    <phoneticPr fontId="1" type="noConversion"/>
  </si>
  <si>
    <t>Jacky Chen</t>
  </si>
  <si>
    <t>Jacky Chen</t>
    <phoneticPr fontId="1" type="noConversion"/>
  </si>
  <si>
    <t>ISD</t>
    <phoneticPr fontId="1" type="noConversion"/>
  </si>
  <si>
    <r>
      <rPr>
        <sz val="10"/>
        <color indexed="12"/>
        <rFont val="宋体"/>
        <family val="3"/>
        <charset val="134"/>
      </rPr>
      <t>安利海外购</t>
    </r>
    <r>
      <rPr>
        <sz val="10"/>
        <color indexed="12"/>
        <rFont val="Arial"/>
        <family val="2"/>
      </rPr>
      <t>v1.28.0</t>
    </r>
    <phoneticPr fontId="1" type="noConversion"/>
  </si>
  <si>
    <t>安利海外购v1.28.0</t>
  </si>
  <si>
    <t>安利海外购v1.28.0</t>
    <phoneticPr fontId="1" type="noConversion"/>
  </si>
  <si>
    <t>海外购公司改名需求</t>
  </si>
  <si>
    <t>海外购公司改名需求</t>
    <phoneticPr fontId="1" type="noConversion"/>
  </si>
  <si>
    <t>各位同事，本版本将于2018/11/26上线，并于2018/11/26正式生效。请各ISR和问题单的提交人提早预留时间，在2018/11/21到2018/11/23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</si>
  <si>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安利海外购系统版本冻结公告-11月份</t>
    <phoneticPr fontId="1" type="noConversion"/>
  </si>
  <si>
    <t>V4.11.1</t>
    <phoneticPr fontId="1" type="noConversion"/>
  </si>
  <si>
    <t>海外购购买产品额度及年度额度调整</t>
    <phoneticPr fontId="1" type="noConversion"/>
  </si>
  <si>
    <t>ISD</t>
    <phoneticPr fontId="1" type="noConversion"/>
  </si>
  <si>
    <t xml:space="preserve">pending </t>
    <phoneticPr fontId="1" type="noConversion"/>
  </si>
  <si>
    <r>
      <rPr>
        <sz val="10"/>
        <color indexed="12"/>
        <rFont val="宋体"/>
        <family val="3"/>
        <charset val="134"/>
      </rPr>
      <t>安利海外购</t>
    </r>
    <r>
      <rPr>
        <sz val="10"/>
        <color indexed="12"/>
        <rFont val="Arial"/>
        <family val="2"/>
      </rPr>
      <t>v1.29.0</t>
    </r>
    <phoneticPr fontId="1" type="noConversion"/>
  </si>
  <si>
    <t>安利海外购v1.29.0</t>
  </si>
  <si>
    <t xml:space="preserve">pending </t>
  </si>
  <si>
    <t>海外购购买产品额度及年度额度调整</t>
  </si>
  <si>
    <t>各位同事，本版本将于2018/12/24上线，并于2018/12/24正式生效。请各ISR和问题单的提交人提早预留时间，在2018/12/23到2018/12/24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</si>
  <si>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安利海外购系统版本冻结公告-12月份</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</si>
</sst>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78"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color indexed="12"/>
      <name val="Arial"/>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name val="微软雅黑"/>
      <family val="2"/>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17">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65"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6" fillId="15" borderId="10" xfId="0" applyFont="1" applyFill="1" applyBorder="1" applyAlignment="1">
      <alignment horizontal="center" wrapText="1"/>
    </xf>
    <xf numFmtId="0" fontId="66" fillId="15" borderId="10" xfId="0" applyFont="1" applyFill="1" applyBorder="1" applyAlignment="1">
      <alignment horizontal="center" vertical="center" wrapText="1"/>
    </xf>
    <xf numFmtId="14" fontId="66" fillId="15" borderId="10" xfId="0" applyNumberFormat="1" applyFont="1" applyFill="1" applyBorder="1" applyAlignment="1">
      <alignment horizontal="center" vertical="center" wrapText="1"/>
    </xf>
    <xf numFmtId="0" fontId="66"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7"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68"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0" fillId="0" borderId="10" xfId="0" applyBorder="1" applyAlignment="1">
      <alignment wrapText="1"/>
    </xf>
    <xf numFmtId="0" fontId="72"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1" fillId="0" borderId="10"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73" fillId="0" borderId="10" xfId="0" applyFont="1" applyFill="1" applyBorder="1" applyAlignment="1">
      <alignment wrapText="1"/>
    </xf>
    <xf numFmtId="14" fontId="73" fillId="0" borderId="10" xfId="0" applyNumberFormat="1" applyFont="1" applyFill="1" applyBorder="1" applyAlignment="1">
      <alignment wrapText="1"/>
    </xf>
    <xf numFmtId="0" fontId="73" fillId="0" borderId="10" xfId="0" applyNumberFormat="1" applyFont="1" applyFill="1" applyBorder="1" applyAlignment="1">
      <alignment wrapText="1"/>
    </xf>
    <xf numFmtId="0" fontId="74" fillId="0" borderId="10" xfId="0" applyFont="1" applyBorder="1" applyAlignment="1">
      <alignment wrapText="1"/>
    </xf>
    <xf numFmtId="14" fontId="74" fillId="0" borderId="10" xfId="0" applyNumberFormat="1" applyFont="1" applyBorder="1" applyAlignment="1">
      <alignment wrapText="1"/>
    </xf>
    <xf numFmtId="0" fontId="74" fillId="0" borderId="10" xfId="0" applyFont="1" applyBorder="1" applyAlignment="1">
      <alignment horizontal="center" wrapText="1"/>
    </xf>
    <xf numFmtId="0" fontId="75" fillId="0" borderId="10" xfId="0" applyFont="1" applyFill="1" applyBorder="1" applyAlignment="1">
      <alignment vertical="center"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14" fontId="74" fillId="0" borderId="10" xfId="0" applyNumberFormat="1" applyFont="1" applyBorder="1" applyAlignment="1">
      <alignment wrapText="1"/>
    </xf>
    <xf numFmtId="0" fontId="74" fillId="0" borderId="10" xfId="0" applyFont="1"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0" fillId="0" borderId="10" xfId="0" applyBorder="1" applyAlignment="1">
      <alignment wrapText="1"/>
    </xf>
    <xf numFmtId="0" fontId="77" fillId="0" borderId="10" xfId="0" applyFont="1" applyFill="1" applyBorder="1"/>
    <xf numFmtId="14" fontId="74" fillId="0" borderId="12" xfId="0" applyNumberFormat="1" applyFont="1" applyBorder="1" applyAlignment="1">
      <alignment wrapText="1"/>
    </xf>
    <xf numFmtId="0" fontId="74" fillId="0" borderId="18" xfId="0" applyFont="1" applyBorder="1" applyAlignment="1">
      <alignment wrapText="1"/>
    </xf>
    <xf numFmtId="14" fontId="74" fillId="0" borderId="10" xfId="0" applyNumberFormat="1" applyFont="1" applyBorder="1" applyAlignment="1">
      <alignment wrapText="1"/>
    </xf>
    <xf numFmtId="0" fontId="74" fillId="0" borderId="10" xfId="0" applyFont="1" applyBorder="1" applyAlignment="1">
      <alignment wrapText="1"/>
    </xf>
    <xf numFmtId="0" fontId="0" fillId="0" borderId="12" xfId="0" applyBorder="1" applyAlignment="1">
      <alignment wrapText="1"/>
    </xf>
    <xf numFmtId="0" fontId="0" fillId="0" borderId="18" xfId="0" applyBorder="1" applyAlignment="1">
      <alignment wrapText="1"/>
    </xf>
    <xf numFmtId="0" fontId="76" fillId="0" borderId="10" xfId="0" applyFont="1" applyFill="1" applyBorder="1" applyAlignment="1">
      <alignment horizontal="left" vertical="center" wrapText="1"/>
    </xf>
    <xf numFmtId="0" fontId="70"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6" fillId="15" borderId="12" xfId="0" applyFont="1" applyFill="1" applyBorder="1" applyAlignment="1">
      <alignment horizontal="center" vertical="center" wrapText="1"/>
    </xf>
    <xf numFmtId="0" fontId="0" fillId="0" borderId="18" xfId="0" applyBorder="1" applyAlignment="1">
      <alignment horizontal="center"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69" fillId="0" borderId="10" xfId="0" applyFont="1" applyFill="1" applyBorder="1" applyAlignment="1">
      <alignment horizontal="left"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1" fillId="0" borderId="0" xfId="0" applyFont="1" applyAlignment="1"/>
    <xf numFmtId="0" fontId="65"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xr:uid="{00000000-0005-0000-0000-000007000000}"/>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png"/><Relationship Id="rId1" Type="http://schemas.openxmlformats.org/officeDocument/2006/relationships/image" Target="../media/image22.png"/><Relationship Id="rId4"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82945" name="CommandButton1" hidden="1">
              <a:extLst>
                <a:ext uri="{63B3BB69-23CF-44E3-9099-C40C66FF867C}">
                  <a14:compatExt spid="_x0000_s82945"/>
                </a:ext>
                <a:ext uri="{FF2B5EF4-FFF2-40B4-BE49-F238E27FC236}">
                  <a16:creationId xmlns:a16="http://schemas.microsoft.com/office/drawing/2014/main" id="{00000000-0008-0000-0000-000001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3" name="Picture 1" descr="amway logo">
          <a:extLst>
            <a:ext uri="{FF2B5EF4-FFF2-40B4-BE49-F238E27FC236}">
              <a16:creationId xmlns:a16="http://schemas.microsoft.com/office/drawing/2014/main" id="{00000000-0008-0000-0100-0000C7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a:extLst>
            <a:ext uri="{FF2B5EF4-FFF2-40B4-BE49-F238E27FC236}">
              <a16:creationId xmlns:a16="http://schemas.microsoft.com/office/drawing/2014/main" id="{00000000-0008-0000-0100-000002040000}"/>
            </a:ext>
          </a:extLst>
        </xdr:cNvPr>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 uri="{FF2B5EF4-FFF2-40B4-BE49-F238E27FC236}">
                  <a16:creationId xmlns:a16="http://schemas.microsoft.com/office/drawing/2014/main" id="{00000000-0008-0000-07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04449" name="CommandButton1" hidden="1">
              <a:extLst>
                <a:ext uri="{63B3BB69-23CF-44E3-9099-C40C66FF867C}">
                  <a14:compatExt spid="_x0000_s104449"/>
                </a:ext>
                <a:ext uri="{FF2B5EF4-FFF2-40B4-BE49-F238E27FC236}">
                  <a16:creationId xmlns:a16="http://schemas.microsoft.com/office/drawing/2014/main" id="{00000000-0008-0000-0900-0000019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83969" name="CommandButton1" hidden="1">
              <a:extLst>
                <a:ext uri="{63B3BB69-23CF-44E3-9099-C40C66FF867C}">
                  <a14:compatExt spid="_x0000_s83969"/>
                </a:ext>
                <a:ext uri="{FF2B5EF4-FFF2-40B4-BE49-F238E27FC236}">
                  <a16:creationId xmlns:a16="http://schemas.microsoft.com/office/drawing/2014/main" id="{00000000-0008-0000-0A00-000001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72705" name="CommandButton1" hidden="1">
              <a:extLst>
                <a:ext uri="{63B3BB69-23CF-44E3-9099-C40C66FF867C}">
                  <a14:compatExt spid="_x0000_s72705"/>
                </a:ext>
                <a:ext uri="{FF2B5EF4-FFF2-40B4-BE49-F238E27FC236}">
                  <a16:creationId xmlns:a16="http://schemas.microsoft.com/office/drawing/2014/main" id="{00000000-0008-0000-0B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72706" name="CommandButton2" hidden="1">
              <a:extLst>
                <a:ext uri="{63B3BB69-23CF-44E3-9099-C40C66FF867C}">
                  <a14:compatExt spid="_x0000_s72706"/>
                </a:ext>
                <a:ext uri="{FF2B5EF4-FFF2-40B4-BE49-F238E27FC236}">
                  <a16:creationId xmlns:a16="http://schemas.microsoft.com/office/drawing/2014/main" id="{00000000-0008-0000-0B00-000002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0C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 uri="{FF2B5EF4-FFF2-40B4-BE49-F238E27FC236}">
                  <a16:creationId xmlns:a16="http://schemas.microsoft.com/office/drawing/2014/main" id="{00000000-0008-0000-0C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 uri="{FF2B5EF4-FFF2-40B4-BE49-F238E27FC236}">
                  <a16:creationId xmlns:a16="http://schemas.microsoft.com/office/drawing/2014/main" id="{00000000-0008-0000-0D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 uri="{FF2B5EF4-FFF2-40B4-BE49-F238E27FC236}">
                  <a16:creationId xmlns:a16="http://schemas.microsoft.com/office/drawing/2014/main" id="{00000000-0008-0000-0D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 uri="{FF2B5EF4-FFF2-40B4-BE49-F238E27FC236}">
                  <a16:creationId xmlns:a16="http://schemas.microsoft.com/office/drawing/2014/main" id="{00000000-0008-0000-0E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 uri="{FF2B5EF4-FFF2-40B4-BE49-F238E27FC236}">
                  <a16:creationId xmlns:a16="http://schemas.microsoft.com/office/drawing/2014/main" id="{00000000-0008-0000-0E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 uri="{FF2B5EF4-FFF2-40B4-BE49-F238E27FC236}">
                  <a16:creationId xmlns:a16="http://schemas.microsoft.com/office/drawing/2014/main" id="{00000000-0008-0000-0F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 uri="{FF2B5EF4-FFF2-40B4-BE49-F238E27FC236}">
                  <a16:creationId xmlns:a16="http://schemas.microsoft.com/office/drawing/2014/main" id="{00000000-0008-0000-0F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 uri="{FF2B5EF4-FFF2-40B4-BE49-F238E27FC236}">
                  <a16:creationId xmlns:a16="http://schemas.microsoft.com/office/drawing/2014/main" id="{00000000-0008-0000-10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 uri="{FF2B5EF4-FFF2-40B4-BE49-F238E27FC236}">
                  <a16:creationId xmlns:a16="http://schemas.microsoft.com/office/drawing/2014/main" id="{00000000-0008-0000-10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 uri="{FF2B5EF4-FFF2-40B4-BE49-F238E27FC236}">
                  <a16:creationId xmlns:a16="http://schemas.microsoft.com/office/drawing/2014/main" id="{00000000-0008-0000-1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 uri="{FF2B5EF4-FFF2-40B4-BE49-F238E27FC236}">
                  <a16:creationId xmlns:a16="http://schemas.microsoft.com/office/drawing/2014/main" id="{00000000-0008-0000-11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 uri="{FF2B5EF4-FFF2-40B4-BE49-F238E27FC236}">
                  <a16:creationId xmlns:a16="http://schemas.microsoft.com/office/drawing/2014/main" id="{00000000-0008-0000-12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59" name="Rectangle 4">
          <a:extLst>
            <a:ext uri="{FF2B5EF4-FFF2-40B4-BE49-F238E27FC236}">
              <a16:creationId xmlns:a16="http://schemas.microsoft.com/office/drawing/2014/main" id="{00000000-0008-0000-1300-000007A70000}"/>
            </a:ext>
          </a:extLst>
        </xdr:cNvPr>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60" name="Picture 10">
          <a:extLst>
            <a:ext uri="{FF2B5EF4-FFF2-40B4-BE49-F238E27FC236}">
              <a16:creationId xmlns:a16="http://schemas.microsoft.com/office/drawing/2014/main" id="{00000000-0008-0000-1300-000008A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61" name="Picture 11">
          <a:extLst>
            <a:ext uri="{FF2B5EF4-FFF2-40B4-BE49-F238E27FC236}">
              <a16:creationId xmlns:a16="http://schemas.microsoft.com/office/drawing/2014/main" id="{00000000-0008-0000-1300-000009A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62" name="Oval 12">
          <a:extLst>
            <a:ext uri="{FF2B5EF4-FFF2-40B4-BE49-F238E27FC236}">
              <a16:creationId xmlns:a16="http://schemas.microsoft.com/office/drawing/2014/main" id="{00000000-0008-0000-1300-00000AA70000}"/>
            </a:ext>
          </a:extLst>
        </xdr:cNvPr>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63" name="Oval 13">
          <a:extLst>
            <a:ext uri="{FF2B5EF4-FFF2-40B4-BE49-F238E27FC236}">
              <a16:creationId xmlns:a16="http://schemas.microsoft.com/office/drawing/2014/main" id="{00000000-0008-0000-1300-00000BA70000}"/>
            </a:ext>
          </a:extLst>
        </xdr:cNvPr>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64" name="Rectangle 15">
          <a:extLst>
            <a:ext uri="{FF2B5EF4-FFF2-40B4-BE49-F238E27FC236}">
              <a16:creationId xmlns:a16="http://schemas.microsoft.com/office/drawing/2014/main" id="{00000000-0008-0000-1300-00000CA70000}"/>
            </a:ext>
          </a:extLst>
        </xdr:cNvPr>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65" name="Picture 17">
          <a:extLst>
            <a:ext uri="{FF2B5EF4-FFF2-40B4-BE49-F238E27FC236}">
              <a16:creationId xmlns:a16="http://schemas.microsoft.com/office/drawing/2014/main" id="{00000000-0008-0000-1300-00000DA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 uri="{FF2B5EF4-FFF2-40B4-BE49-F238E27FC236}">
                  <a16:creationId xmlns:a16="http://schemas.microsoft.com/office/drawing/2014/main" id="{00000000-0008-0000-15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HK%20Amanet_&#29256;&#26412;&#38656;&#27714;&#25490;&#26399;&#34920;_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版本冻结公告-复制模板 (backup)"/>
      <sheetName val="版本冻结公告-复制模板"/>
      <sheetName val="版本控制"/>
      <sheetName val="例行版本计划"/>
      <sheetName val="ISR清单"/>
      <sheetName val="缺陷及问题清单"/>
      <sheetName val="本月退回ISR清单"/>
      <sheetName val="待处理ISR清单"/>
      <sheetName val="XX版本冻结公告"/>
      <sheetName val="历史信息"/>
      <sheetName val="版本冻结公告-v6.17.0"/>
      <sheetName val="版本冻结公告-v6.15.0"/>
      <sheetName val="v6.15.0版本冻结公告"/>
      <sheetName val="v6.13.0版本冻结公告"/>
      <sheetName val="v6.12.1版本冻结公告"/>
      <sheetName val="v1.23.0版本冻结公告"/>
      <sheetName val="v1.22.0版本冻结公告"/>
      <sheetName val="v1.19.0版本冻结公告"/>
      <sheetName val="v1.18.0版本冻结公告"/>
      <sheetName val="v1.17.0版本冻结公告"/>
      <sheetName val="XXX版本冻结公告（变更）"/>
      <sheetName val="邮件规范及操作指引"/>
      <sheetName val="textcontent"/>
      <sheetName val="XX版本冻结公告(变更)"/>
    </sheetNames>
    <sheetDataSet>
      <sheetData sheetId="0"/>
      <sheetData sheetId="1"/>
      <sheetData sheetId="2"/>
      <sheetData sheetId="3">
        <row r="11">
          <cell r="A11" t="str">
            <v>安利海外购v1.16.0</v>
          </cell>
        </row>
        <row r="12">
          <cell r="A12" t="str">
            <v>安利海外购v1.17.0</v>
          </cell>
        </row>
        <row r="13">
          <cell r="A13" t="str">
            <v>安利海外购v1.18.0</v>
          </cell>
        </row>
        <row r="14">
          <cell r="A14" t="str">
            <v>安利海外购v1.19.0</v>
          </cell>
        </row>
        <row r="15">
          <cell r="A15" t="str">
            <v>安利海外购v1.20.0</v>
          </cell>
        </row>
        <row r="16">
          <cell r="A16" t="str">
            <v>安利海外购v1.21.0</v>
          </cell>
        </row>
        <row r="17">
          <cell r="A17" t="str">
            <v>安利海外购v1.22.0</v>
          </cell>
        </row>
        <row r="18">
          <cell r="A18" t="str">
            <v>安利海外购v1.23.0</v>
          </cell>
        </row>
        <row r="19">
          <cell r="A19" t="str">
            <v>安利海外购v1.24.0</v>
          </cell>
        </row>
        <row r="20">
          <cell r="A20" t="str">
            <v>AHK AmanetV6.12.1</v>
          </cell>
        </row>
        <row r="21">
          <cell r="A21" t="str">
            <v>AHK AmanetV6.13.0</v>
          </cell>
        </row>
        <row r="22">
          <cell r="A22" t="str">
            <v>AHK AmanetV6.14.0</v>
          </cell>
        </row>
        <row r="23">
          <cell r="A23" t="str">
            <v>AHK AmanetV6.15.0</v>
          </cell>
        </row>
        <row r="24">
          <cell r="A24" t="str">
            <v>AHK AmanetV6.16.0</v>
          </cell>
        </row>
        <row r="25">
          <cell r="A25" t="str">
            <v>AHK AmanetV6.17.0</v>
          </cell>
        </row>
        <row r="26">
          <cell r="A26" t="str">
            <v>AHK AmanetV6.18.0</v>
          </cell>
        </row>
        <row r="27">
          <cell r="A27" t="str">
            <v>AHK AmanetV6.19.0</v>
          </cell>
        </row>
        <row r="28">
          <cell r="A28" t="str">
            <v>AHK AmanetV6.20.0</v>
          </cell>
        </row>
        <row r="29">
          <cell r="A29" t="str">
            <v>AHK AmanetV6.21.0</v>
          </cell>
        </row>
        <row r="30">
          <cell r="A30" t="str">
            <v>AHK AmanetV6.22.0</v>
          </cell>
        </row>
        <row r="31">
          <cell r="A31" t="str">
            <v>AHK AmanetV6.23.0</v>
          </cell>
        </row>
        <row r="32">
          <cell r="A32" t="str">
            <v>AHK AmanetV6.24.0</v>
          </cell>
        </row>
        <row r="33">
          <cell r="A33"/>
        </row>
        <row r="34">
          <cell r="A34"/>
        </row>
        <row r="35">
          <cell r="A35"/>
        </row>
        <row r="36">
          <cell r="A36"/>
        </row>
        <row r="37">
          <cell r="A37"/>
        </row>
        <row r="38">
          <cell r="A38"/>
        </row>
        <row r="39">
          <cell r="A39"/>
        </row>
        <row r="40">
          <cell r="A40"/>
        </row>
        <row r="41">
          <cell r="A41"/>
        </row>
        <row r="42">
          <cell r="A42"/>
        </row>
        <row r="43">
          <cell r="A43"/>
        </row>
      </sheetData>
      <sheetData sheetId="4">
        <row r="4">
          <cell r="I4" t="str">
            <v>已排期</v>
          </cell>
        </row>
        <row r="5">
          <cell r="I5" t="str">
            <v>已排期</v>
          </cell>
        </row>
        <row r="6">
          <cell r="I6"/>
        </row>
        <row r="7">
          <cell r="I7" t="str">
            <v>已排期</v>
          </cell>
        </row>
        <row r="8">
          <cell r="I8" t="str">
            <v>已排期</v>
          </cell>
        </row>
        <row r="9">
          <cell r="I9" t="str">
            <v>已排期</v>
          </cell>
        </row>
        <row r="10">
          <cell r="I10" t="str">
            <v>已排期</v>
          </cell>
        </row>
        <row r="11">
          <cell r="I11" t="str">
            <v>已排期</v>
          </cell>
        </row>
        <row r="12">
          <cell r="I12" t="str">
            <v>已排期</v>
          </cell>
        </row>
        <row r="13">
          <cell r="I13" t="str">
            <v>已排期</v>
          </cell>
        </row>
        <row r="14">
          <cell r="I14" t="str">
            <v>已排期</v>
          </cell>
        </row>
        <row r="15">
          <cell r="I15" t="str">
            <v>已排期</v>
          </cell>
        </row>
        <row r="16">
          <cell r="I16" t="str">
            <v>已排期</v>
          </cell>
        </row>
        <row r="17">
          <cell r="I17" t="str">
            <v>已排期</v>
          </cell>
        </row>
        <row r="18">
          <cell r="I18" t="str">
            <v>已排期</v>
          </cell>
        </row>
        <row r="19">
          <cell r="I19" t="str">
            <v>已排期</v>
          </cell>
        </row>
        <row r="20">
          <cell r="I20" t="str">
            <v>已排期</v>
          </cell>
        </row>
        <row r="21">
          <cell r="I21" t="str">
            <v>已排期</v>
          </cell>
        </row>
        <row r="22">
          <cell r="I22" t="str">
            <v>待排期</v>
          </cell>
        </row>
        <row r="23">
          <cell r="I23" t="str">
            <v>已排期</v>
          </cell>
        </row>
        <row r="24">
          <cell r="I24"/>
        </row>
        <row r="25">
          <cell r="I25"/>
        </row>
        <row r="26">
          <cell r="I26"/>
        </row>
        <row r="27">
          <cell r="I27"/>
        </row>
        <row r="28">
          <cell r="I28"/>
        </row>
        <row r="29">
          <cell r="I29"/>
        </row>
        <row r="30">
          <cell r="I30"/>
        </row>
        <row r="31">
          <cell r="I31"/>
        </row>
        <row r="32">
          <cell r="I32"/>
        </row>
        <row r="33">
          <cell r="I33"/>
        </row>
        <row r="34">
          <cell r="I34"/>
        </row>
        <row r="35">
          <cell r="I35"/>
        </row>
        <row r="36">
          <cell r="I36"/>
        </row>
        <row r="37">
          <cell r="I37"/>
        </row>
        <row r="38">
          <cell r="I38"/>
        </row>
        <row r="39">
          <cell r="I39"/>
        </row>
        <row r="40">
          <cell r="I40"/>
        </row>
        <row r="41">
          <cell r="I41"/>
        </row>
        <row r="42">
          <cell r="I42"/>
        </row>
        <row r="43">
          <cell r="I43"/>
        </row>
        <row r="44">
          <cell r="I44"/>
        </row>
        <row r="45">
          <cell r="I45"/>
        </row>
        <row r="46">
          <cell r="I46"/>
        </row>
        <row r="47">
          <cell r="I47"/>
        </row>
      </sheetData>
      <sheetData sheetId="5"/>
      <sheetData sheetId="6">
        <row r="5">
          <cell r="C5">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mments" Target="../comments9.xml"/><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9.xml"/><Relationship Id="rId5" Type="http://schemas.openxmlformats.org/officeDocument/2006/relationships/image" Target="../media/image9.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2.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1.xml"/><Relationship Id="rId5" Type="http://schemas.openxmlformats.org/officeDocument/2006/relationships/image" Target="../media/image11.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4.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3.xml"/><Relationship Id="rId5" Type="http://schemas.openxmlformats.org/officeDocument/2006/relationships/image" Target="../media/image13.emf"/><Relationship Id="rId4" Type="http://schemas.openxmlformats.org/officeDocument/2006/relationships/control" Target="../activeX/activeX12.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6.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5.xml"/><Relationship Id="rId5" Type="http://schemas.openxmlformats.org/officeDocument/2006/relationships/image" Target="../media/image15.emf"/><Relationship Id="rId4" Type="http://schemas.openxmlformats.org/officeDocument/2006/relationships/control" Target="../activeX/activeX14.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8.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7.xml"/><Relationship Id="rId5" Type="http://schemas.openxmlformats.org/officeDocument/2006/relationships/image" Target="../media/image17.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0.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19.xml"/><Relationship Id="rId5" Type="http://schemas.openxmlformats.org/officeDocument/2006/relationships/image" Target="../media/image19.emf"/><Relationship Id="rId4" Type="http://schemas.openxmlformats.org/officeDocument/2006/relationships/control" Target="../activeX/activeX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21.emf"/><Relationship Id="rId4" Type="http://schemas.openxmlformats.org/officeDocument/2006/relationships/control" Target="../activeX/activeX20.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1.xml"/><Relationship Id="rId2" Type="http://schemas.openxmlformats.org/officeDocument/2006/relationships/vmlDrawing" Target="../drawings/vmlDrawing19.vml"/><Relationship Id="rId1" Type="http://schemas.openxmlformats.org/officeDocument/2006/relationships/drawing" Target="../drawings/drawing15.xml"/><Relationship Id="rId4" Type="http://schemas.openxmlformats.org/officeDocument/2006/relationships/image" Target="../media/image2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B1:G30"/>
  <sheetViews>
    <sheetView topLeftCell="B2" workbookViewId="0">
      <selection activeCell="K3" sqref="K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hidden="1" x14ac:dyDescent="0.2"/>
    <row r="2" spans="2:7" ht="18" x14ac:dyDescent="0.2">
      <c r="B2" s="166" t="s">
        <v>264</v>
      </c>
      <c r="C2" s="166"/>
      <c r="D2" s="166"/>
      <c r="E2" s="166"/>
      <c r="F2" s="166"/>
      <c r="G2" s="166"/>
    </row>
    <row r="3" spans="2:7" ht="125.25" customHeight="1" x14ac:dyDescent="0.2">
      <c r="B3" s="167" t="s">
        <v>265</v>
      </c>
      <c r="C3" s="167"/>
      <c r="D3" s="167"/>
      <c r="E3" s="167"/>
      <c r="F3" s="167"/>
      <c r="G3" s="167"/>
    </row>
    <row r="4" spans="2:7" ht="13.5" customHeight="1" x14ac:dyDescent="0.2">
      <c r="B4" s="86"/>
      <c r="C4" s="87"/>
      <c r="D4" s="168"/>
      <c r="E4" s="169"/>
      <c r="F4" s="169"/>
      <c r="G4" s="170"/>
    </row>
    <row r="5" spans="2:7" ht="14.25" x14ac:dyDescent="0.3">
      <c r="B5" s="88" t="s">
        <v>266</v>
      </c>
      <c r="C5" s="77" t="s">
        <v>267</v>
      </c>
      <c r="D5" s="89"/>
      <c r="E5" s="90"/>
      <c r="F5" s="90"/>
      <c r="G5" s="91"/>
    </row>
    <row r="6" spans="2:7" ht="14.25" customHeight="1" x14ac:dyDescent="0.3">
      <c r="B6" s="83" t="s">
        <v>268</v>
      </c>
      <c r="C6" s="92" t="e">
        <f>COUNTIF([1]ISR清单!I4:I47,"待分析")</f>
        <v>#VALUE!</v>
      </c>
      <c r="D6" s="89"/>
      <c r="E6" s="90"/>
      <c r="F6" s="90"/>
      <c r="G6" s="91"/>
    </row>
    <row r="7" spans="2:7" ht="14.25" customHeight="1" x14ac:dyDescent="0.3">
      <c r="B7" s="83" t="s">
        <v>269</v>
      </c>
      <c r="C7" s="92" t="e">
        <f>COUNTIF([1]ISR清单!I4:I47,"待排期")</f>
        <v>#VALUE!</v>
      </c>
      <c r="D7" s="89"/>
      <c r="E7" s="90"/>
      <c r="F7" s="90"/>
      <c r="G7" s="91"/>
    </row>
    <row r="8" spans="2:7" ht="14.25" customHeight="1" x14ac:dyDescent="0.3">
      <c r="B8" s="83" t="s">
        <v>270</v>
      </c>
      <c r="C8" s="92" t="e">
        <f>COUNTIF([1]ISR清单!I4:I47,"已挂起")</f>
        <v>#VALUE!</v>
      </c>
      <c r="D8" s="89"/>
      <c r="E8" s="90"/>
      <c r="F8" s="90"/>
      <c r="G8" s="91"/>
    </row>
    <row r="9" spans="2:7" ht="14.25" customHeight="1" x14ac:dyDescent="0.3">
      <c r="B9" s="83" t="s">
        <v>271</v>
      </c>
      <c r="C9" s="92">
        <f>[1]本月退回ISR清单!C5</f>
        <v>0</v>
      </c>
      <c r="D9" s="89"/>
      <c r="E9" s="90"/>
      <c r="F9" s="90"/>
      <c r="G9" s="91"/>
    </row>
    <row r="10" spans="2:7" s="50" customFormat="1" ht="12.75" customHeight="1" x14ac:dyDescent="0.2">
      <c r="B10" s="132" t="s">
        <v>272</v>
      </c>
      <c r="C10" s="93"/>
      <c r="D10" s="94"/>
      <c r="E10" s="90"/>
      <c r="F10" s="90"/>
      <c r="G10" s="91"/>
    </row>
    <row r="11" spans="2:7" ht="14.25" customHeight="1" x14ac:dyDescent="0.2">
      <c r="B11" s="95"/>
      <c r="C11" s="96"/>
      <c r="D11" s="96"/>
      <c r="E11" s="97"/>
      <c r="F11" s="97"/>
      <c r="G11" s="98"/>
    </row>
    <row r="12" spans="2:7" ht="14.25" x14ac:dyDescent="0.3">
      <c r="B12" s="79" t="s">
        <v>273</v>
      </c>
      <c r="C12" s="79" t="s">
        <v>274</v>
      </c>
      <c r="D12" s="79" t="s">
        <v>275</v>
      </c>
      <c r="E12" s="78"/>
      <c r="F12" s="71"/>
      <c r="G12" s="99"/>
    </row>
    <row r="13" spans="2:7" ht="28.5" x14ac:dyDescent="0.3">
      <c r="B13" s="100" t="s">
        <v>276</v>
      </c>
      <c r="C13" s="101">
        <v>43391</v>
      </c>
      <c r="D13" s="101">
        <v>43391</v>
      </c>
      <c r="E13" s="102"/>
      <c r="F13" s="90"/>
      <c r="G13" s="91"/>
    </row>
    <row r="14" spans="2:7" ht="14.25" x14ac:dyDescent="0.3">
      <c r="B14" s="103" t="s">
        <v>277</v>
      </c>
      <c r="C14" s="101">
        <v>43391</v>
      </c>
      <c r="D14" s="101">
        <v>43395</v>
      </c>
      <c r="E14" s="89"/>
      <c r="F14" s="90"/>
      <c r="G14" s="91"/>
    </row>
    <row r="15" spans="2:7" ht="14.25" x14ac:dyDescent="0.3">
      <c r="B15" s="100" t="s">
        <v>278</v>
      </c>
      <c r="C15" s="101">
        <v>43391</v>
      </c>
      <c r="D15" s="101">
        <v>43395</v>
      </c>
      <c r="E15" s="102"/>
      <c r="F15" s="90"/>
      <c r="G15" s="91"/>
    </row>
    <row r="16" spans="2:7" ht="14.25" x14ac:dyDescent="0.3">
      <c r="B16" s="103" t="s">
        <v>279</v>
      </c>
      <c r="C16" s="101">
        <v>43398</v>
      </c>
      <c r="D16" s="101">
        <v>43410</v>
      </c>
      <c r="E16" s="102"/>
      <c r="F16" s="90"/>
      <c r="G16" s="91"/>
    </row>
    <row r="17" spans="2:7" ht="14.25" x14ac:dyDescent="0.2">
      <c r="B17" s="132" t="s">
        <v>280</v>
      </c>
      <c r="C17" s="133"/>
      <c r="D17" s="133"/>
      <c r="E17" s="133"/>
      <c r="F17" s="133"/>
      <c r="G17" s="134"/>
    </row>
    <row r="18" spans="2:7" ht="28.5" x14ac:dyDescent="0.2">
      <c r="B18" s="80" t="s">
        <v>190</v>
      </c>
      <c r="C18" s="81" t="s">
        <v>44</v>
      </c>
      <c r="D18" s="80" t="s">
        <v>46</v>
      </c>
      <c r="E18" s="80" t="s">
        <v>48</v>
      </c>
      <c r="F18" s="82" t="s">
        <v>281</v>
      </c>
      <c r="G18" s="80" t="s">
        <v>191</v>
      </c>
    </row>
    <row r="19" spans="2:7" x14ac:dyDescent="0.2">
      <c r="B19" s="141" t="s">
        <v>282</v>
      </c>
      <c r="C19" s="142">
        <v>43391</v>
      </c>
      <c r="D19" s="141" t="s">
        <v>283</v>
      </c>
      <c r="E19" s="141" t="s">
        <v>284</v>
      </c>
      <c r="F19" s="141" t="s">
        <v>285</v>
      </c>
      <c r="G19" s="141"/>
    </row>
    <row r="20" spans="2:7" x14ac:dyDescent="0.2">
      <c r="B20" s="141" t="s">
        <v>286</v>
      </c>
      <c r="C20" s="142">
        <v>43347</v>
      </c>
      <c r="D20" s="141" t="s">
        <v>287</v>
      </c>
      <c r="E20" s="141" t="s">
        <v>288</v>
      </c>
      <c r="F20" s="141" t="s">
        <v>285</v>
      </c>
      <c r="G20" s="141"/>
    </row>
    <row r="21" spans="2:7" ht="14.25" x14ac:dyDescent="0.2">
      <c r="B21" s="171" t="s">
        <v>289</v>
      </c>
      <c r="C21" s="172"/>
      <c r="D21" s="172"/>
      <c r="E21" s="172"/>
      <c r="F21" s="172"/>
      <c r="G21" s="173"/>
    </row>
    <row r="22" spans="2:7" ht="25.5" customHeight="1" x14ac:dyDescent="0.2">
      <c r="B22" s="80" t="s">
        <v>290</v>
      </c>
      <c r="C22" s="80" t="s">
        <v>291</v>
      </c>
      <c r="D22" s="80" t="s">
        <v>292</v>
      </c>
      <c r="E22" s="80" t="s">
        <v>48</v>
      </c>
      <c r="F22" s="80" t="s">
        <v>293</v>
      </c>
      <c r="G22" s="80" t="s">
        <v>191</v>
      </c>
    </row>
    <row r="23" spans="2:7" ht="23.25" x14ac:dyDescent="0.2">
      <c r="B23" s="143" t="s">
        <v>294</v>
      </c>
      <c r="C23" s="144">
        <v>43392</v>
      </c>
      <c r="D23" s="143" t="s">
        <v>295</v>
      </c>
      <c r="E23" s="145" t="s">
        <v>288</v>
      </c>
      <c r="F23" s="143" t="s">
        <v>285</v>
      </c>
      <c r="G23" s="143"/>
    </row>
    <row r="24" spans="2:7" x14ac:dyDescent="0.2">
      <c r="B24" s="143"/>
      <c r="C24" s="144"/>
      <c r="D24" s="143"/>
      <c r="E24" s="145"/>
      <c r="F24" s="143"/>
      <c r="G24" s="143"/>
    </row>
    <row r="25" spans="2:7" ht="14.25" x14ac:dyDescent="0.2">
      <c r="B25" s="171" t="s">
        <v>296</v>
      </c>
      <c r="C25" s="172"/>
      <c r="D25" s="172"/>
      <c r="E25" s="172"/>
      <c r="F25" s="172"/>
      <c r="G25" s="173"/>
    </row>
    <row r="26" spans="2:7" ht="14.25" x14ac:dyDescent="0.2">
      <c r="B26" s="80" t="s">
        <v>297</v>
      </c>
      <c r="C26" s="80" t="s">
        <v>266</v>
      </c>
      <c r="D26" s="80" t="s">
        <v>298</v>
      </c>
      <c r="E26" s="174" t="s">
        <v>299</v>
      </c>
      <c r="F26" s="175"/>
      <c r="G26" s="80" t="s">
        <v>300</v>
      </c>
    </row>
    <row r="27" spans="2:7" x14ac:dyDescent="0.2">
      <c r="B27" s="146" t="s">
        <v>184</v>
      </c>
      <c r="C27" s="146" t="s">
        <v>185</v>
      </c>
      <c r="D27" s="147">
        <v>42908</v>
      </c>
      <c r="E27" s="159" t="s">
        <v>186</v>
      </c>
      <c r="F27" s="160"/>
      <c r="G27" s="148"/>
    </row>
    <row r="28" spans="2:7" x14ac:dyDescent="0.2">
      <c r="B28" s="146" t="s">
        <v>301</v>
      </c>
      <c r="C28" s="146" t="s">
        <v>302</v>
      </c>
      <c r="D28" s="147">
        <v>42908</v>
      </c>
      <c r="E28" s="161" t="s">
        <v>303</v>
      </c>
      <c r="F28" s="162"/>
      <c r="G28" s="148"/>
    </row>
    <row r="29" spans="2:7" x14ac:dyDescent="0.2">
      <c r="B29" s="135"/>
      <c r="C29" s="135"/>
      <c r="D29" s="135"/>
      <c r="E29" s="163"/>
      <c r="F29" s="164"/>
      <c r="G29" s="135"/>
    </row>
    <row r="30" spans="2:7" ht="88.5" customHeight="1" x14ac:dyDescent="0.2">
      <c r="B30" s="149" t="s">
        <v>304</v>
      </c>
      <c r="C30" s="165" t="s">
        <v>305</v>
      </c>
      <c r="D30" s="165"/>
      <c r="E30" s="165"/>
      <c r="F30" s="165"/>
      <c r="G30" s="165"/>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0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945"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8294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78" t="s">
        <v>38</v>
      </c>
      <c r="C6" s="178"/>
      <c r="D6" s="178"/>
      <c r="E6" s="178"/>
      <c r="F6" s="178"/>
    </row>
    <row r="8" spans="2:6" ht="14.25" x14ac:dyDescent="0.15">
      <c r="B8" s="176" t="s">
        <v>1</v>
      </c>
      <c r="C8" s="176"/>
      <c r="D8" s="176"/>
      <c r="E8" s="176"/>
      <c r="F8" s="176"/>
    </row>
    <row r="9" spans="2:6" ht="6.75" customHeight="1" x14ac:dyDescent="0.15">
      <c r="B9" s="177"/>
      <c r="C9" s="177"/>
      <c r="D9" s="177"/>
      <c r="E9" s="177"/>
      <c r="F9" s="177"/>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47"/>
  <sheetViews>
    <sheetView topLeftCell="A11" workbookViewId="0">
      <selection activeCell="E16" sqref="E1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36" t="s">
        <v>256</v>
      </c>
      <c r="B20" s="114">
        <v>43396</v>
      </c>
      <c r="C20" s="114">
        <v>43398</v>
      </c>
      <c r="D20" s="9"/>
      <c r="E20" s="9"/>
    </row>
    <row r="21" spans="1:5" x14ac:dyDescent="0.2">
      <c r="A21" s="136" t="s">
        <v>313</v>
      </c>
      <c r="B21" s="15"/>
      <c r="C21" s="15"/>
      <c r="D21" s="9"/>
      <c r="E21" s="9"/>
    </row>
    <row r="22" spans="1:5" x14ac:dyDescent="0.2">
      <c r="A22" s="136" t="s">
        <v>324</v>
      </c>
      <c r="B22" s="15"/>
      <c r="C22" s="15"/>
      <c r="D22" s="9"/>
      <c r="E22" s="9"/>
    </row>
    <row r="23" spans="1:5" x14ac:dyDescent="0.2">
      <c r="A23" s="15"/>
      <c r="B23" s="15"/>
      <c r="C23" s="15"/>
      <c r="D23" s="9"/>
      <c r="E23" s="9"/>
    </row>
    <row r="24" spans="1:5" x14ac:dyDescent="0.2">
      <c r="A24" s="15"/>
      <c r="B24" s="15"/>
      <c r="C24" s="15"/>
      <c r="D24" s="9"/>
      <c r="E24" s="9"/>
    </row>
    <row r="25" spans="1:5" x14ac:dyDescent="0.2">
      <c r="A25" s="15"/>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row r="45" spans="1:5" x14ac:dyDescent="0.2">
      <c r="A45" s="15"/>
      <c r="B45" s="15"/>
      <c r="C45" s="15"/>
      <c r="D45" s="9"/>
      <c r="E45" s="9"/>
    </row>
    <row r="46" spans="1:5" x14ac:dyDescent="0.2">
      <c r="A46" s="15"/>
      <c r="B46" s="15"/>
      <c r="C46" s="15"/>
      <c r="D46" s="9"/>
      <c r="E46" s="9"/>
    </row>
    <row r="47" spans="1:5" x14ac:dyDescent="0.2">
      <c r="A47" s="15"/>
      <c r="B47" s="15"/>
      <c r="C47" s="15"/>
      <c r="D47" s="9"/>
      <c r="E47"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65"/>
  <sheetViews>
    <sheetView topLeftCell="A7" workbookViewId="0">
      <selection activeCell="N17" sqref="N17"/>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79" t="s">
        <v>40</v>
      </c>
      <c r="B1" s="179"/>
      <c r="C1" s="179"/>
    </row>
    <row r="2" spans="1:18" ht="14.25" customHeight="1" x14ac:dyDescent="0.2">
      <c r="A2" s="180" t="s">
        <v>42</v>
      </c>
      <c r="B2" s="180"/>
      <c r="C2" s="180"/>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x14ac:dyDescent="0.2">
      <c r="A14" s="21" t="s">
        <v>262</v>
      </c>
      <c r="B14" s="26">
        <v>43252</v>
      </c>
      <c r="C14" s="28" t="s">
        <v>258</v>
      </c>
      <c r="D14" s="28" t="s">
        <v>258</v>
      </c>
      <c r="E14" s="54" t="s">
        <v>259</v>
      </c>
      <c r="F14" s="118" t="s">
        <v>224</v>
      </c>
      <c r="G14" s="26"/>
      <c r="H14" s="21"/>
      <c r="I14" s="9" t="s">
        <v>178</v>
      </c>
      <c r="J14" s="48"/>
      <c r="K14" s="9"/>
      <c r="L14" s="9"/>
      <c r="M14" s="9"/>
      <c r="N14" s="9" t="s">
        <v>260</v>
      </c>
      <c r="O14" s="75" t="s">
        <v>174</v>
      </c>
      <c r="P14" s="22"/>
      <c r="Q14" s="22"/>
    </row>
    <row r="15" spans="1:18" x14ac:dyDescent="0.2">
      <c r="A15" s="21" t="s">
        <v>307</v>
      </c>
      <c r="B15" s="26">
        <v>43344</v>
      </c>
      <c r="C15" s="28" t="s">
        <v>309</v>
      </c>
      <c r="D15" s="28" t="s">
        <v>309</v>
      </c>
      <c r="E15" s="54" t="s">
        <v>311</v>
      </c>
      <c r="F15" s="54" t="s">
        <v>312</v>
      </c>
      <c r="G15" s="26"/>
      <c r="H15" s="21"/>
      <c r="I15" s="9" t="s">
        <v>178</v>
      </c>
      <c r="J15" s="48"/>
      <c r="K15" s="9"/>
      <c r="L15" s="9"/>
      <c r="M15" s="9"/>
      <c r="N15" s="9" t="s">
        <v>314</v>
      </c>
      <c r="O15" s="75" t="s">
        <v>174</v>
      </c>
      <c r="P15" s="9"/>
      <c r="Q15" s="9"/>
    </row>
    <row r="16" spans="1:18" ht="13.5" customHeight="1" x14ac:dyDescent="0.2">
      <c r="A16" s="21" t="s">
        <v>307</v>
      </c>
      <c r="B16" s="26">
        <v>43344</v>
      </c>
      <c r="C16" s="28" t="s">
        <v>317</v>
      </c>
      <c r="D16" s="28" t="s">
        <v>317</v>
      </c>
      <c r="E16" s="54" t="s">
        <v>311</v>
      </c>
      <c r="F16" s="54" t="s">
        <v>312</v>
      </c>
      <c r="G16" s="26"/>
      <c r="H16" s="21"/>
      <c r="I16" s="9" t="s">
        <v>178</v>
      </c>
      <c r="J16" s="48"/>
      <c r="K16" s="9"/>
      <c r="L16" s="9"/>
      <c r="M16" s="9"/>
      <c r="N16" s="9" t="s">
        <v>314</v>
      </c>
      <c r="O16" s="75" t="s">
        <v>174</v>
      </c>
      <c r="P16" s="9"/>
      <c r="Q16" s="9"/>
    </row>
    <row r="17" spans="1:17" ht="13.5" customHeight="1" x14ac:dyDescent="0.35">
      <c r="A17" s="21" t="s">
        <v>323</v>
      </c>
      <c r="B17" s="26">
        <v>43453</v>
      </c>
      <c r="C17" s="158" t="s">
        <v>321</v>
      </c>
      <c r="D17" s="158" t="s">
        <v>321</v>
      </c>
      <c r="E17" s="54" t="s">
        <v>311</v>
      </c>
      <c r="F17" s="54" t="s">
        <v>322</v>
      </c>
      <c r="G17" s="26"/>
      <c r="H17" s="21"/>
      <c r="I17" s="9" t="s">
        <v>178</v>
      </c>
      <c r="J17" s="48"/>
      <c r="K17" s="22"/>
      <c r="L17" s="9"/>
      <c r="M17" s="9"/>
      <c r="N17" s="9" t="s">
        <v>325</v>
      </c>
      <c r="O17" s="22" t="s">
        <v>174</v>
      </c>
      <c r="P17" s="9"/>
      <c r="Q17" s="22"/>
    </row>
    <row r="18" spans="1:17" ht="13.5" customHeight="1" x14ac:dyDescent="0.2">
      <c r="A18" s="21"/>
      <c r="B18" s="26"/>
      <c r="C18" s="21"/>
      <c r="D18" s="21"/>
      <c r="E18" s="21"/>
      <c r="F18" s="21"/>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O39:O40 O27:O36 O25 O23 N4:N47" xr:uid="{00000000-0002-0000-0300-000000000000}">
      <formula1>版本名称</formula1>
    </dataValidation>
    <dataValidation type="list" allowBlank="1" showInputMessage="1" showErrorMessage="1" sqref="H34:H40 H4:H32" xr:uid="{00000000-0002-0000-0300-000001000000}">
      <formula1>"是,否"</formula1>
    </dataValidation>
    <dataValidation type="list" allowBlank="1" showInputMessage="1" showErrorMessage="1" sqref="H33" xr:uid="{00000000-0002-0000-0300-000002000000}">
      <formula1>"已审核,已排期,已上线"</formula1>
    </dataValidation>
    <dataValidation type="list" allowBlank="1" showInputMessage="1" showErrorMessage="1" sqref="J4:J40 J42:J47" xr:uid="{00000000-0002-0000-0300-000003000000}">
      <formula1>"高,中,低"</formula1>
    </dataValidation>
    <dataValidation type="list" allowBlank="1" showInputMessage="1" showErrorMessage="1" sqref="I4:I65" xr:uid="{00000000-0002-0000-0300-000004000000}">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79" t="s">
        <v>40</v>
      </c>
      <c r="B1" s="179"/>
      <c r="C1" s="179"/>
      <c r="D1" s="33"/>
    </row>
    <row r="2" spans="1:18" ht="24" hidden="1" customHeight="1" x14ac:dyDescent="0.2">
      <c r="A2" s="32" t="s">
        <v>50</v>
      </c>
      <c r="B2" s="30"/>
      <c r="L2" s="10"/>
      <c r="O2" s="31"/>
    </row>
    <row r="3" spans="1:18" ht="14.25" customHeight="1" x14ac:dyDescent="0.2">
      <c r="A3" s="180" t="s">
        <v>55</v>
      </c>
      <c r="B3" s="180"/>
      <c r="C3" s="180"/>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255</v>
      </c>
      <c r="B5" s="26">
        <v>43217</v>
      </c>
      <c r="C5" s="121" t="s">
        <v>250</v>
      </c>
      <c r="D5" s="21"/>
      <c r="E5" s="21"/>
      <c r="F5" s="21"/>
      <c r="G5" s="55"/>
      <c r="H5" s="22"/>
      <c r="I5" s="48"/>
      <c r="J5" s="22"/>
      <c r="K5" s="22"/>
      <c r="L5" s="9"/>
      <c r="M5" s="9" t="s">
        <v>247</v>
      </c>
      <c r="N5" s="122" t="s">
        <v>248</v>
      </c>
      <c r="O5" s="22"/>
      <c r="P5" s="22"/>
      <c r="Q5" s="45"/>
      <c r="R5" s="23"/>
    </row>
    <row r="6" spans="1:18" x14ac:dyDescent="0.2">
      <c r="A6" s="21" t="s">
        <v>255</v>
      </c>
      <c r="B6" s="26">
        <v>43217</v>
      </c>
      <c r="C6" s="121" t="s">
        <v>252</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xr:uid="{00000000-0002-0000-0400-000000000000}">
      <formula1>版本名称</formula1>
    </dataValidation>
    <dataValidation type="list" allowBlank="1" showInputMessage="1" showErrorMessage="1" sqref="H5:H30" xr:uid="{00000000-0002-0000-0400-000001000000}">
      <formula1>"已提交,处理中,已上线,已挂起"</formula1>
    </dataValidation>
    <dataValidation type="list" allowBlank="1" showInputMessage="1" showErrorMessage="1" sqref="I5:I25" xr:uid="{00000000-0002-0000-0400-000002000000}">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81" t="s">
        <v>81</v>
      </c>
      <c r="C2" s="182"/>
      <c r="D2" s="182"/>
      <c r="E2" s="182"/>
      <c r="F2" s="182"/>
      <c r="G2" s="182"/>
      <c r="H2" s="183"/>
    </row>
    <row r="3" spans="2:8" ht="159.75" customHeight="1" x14ac:dyDescent="0.2">
      <c r="B3" s="184" t="s">
        <v>82</v>
      </c>
      <c r="C3" s="185"/>
      <c r="D3" s="185"/>
      <c r="E3" s="185"/>
      <c r="F3" s="185"/>
      <c r="G3" s="185"/>
      <c r="H3" s="185"/>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xr:uid="{00000000-0002-0000-0500-000000000000}">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81" t="s">
        <v>95</v>
      </c>
      <c r="C2" s="182"/>
      <c r="D2" s="182"/>
      <c r="E2" s="182"/>
      <c r="F2" s="182"/>
      <c r="G2" s="182"/>
      <c r="H2" s="183"/>
    </row>
    <row r="3" spans="2:8" ht="93.75" customHeight="1" x14ac:dyDescent="0.2">
      <c r="B3" s="184" t="s">
        <v>88</v>
      </c>
      <c r="C3" s="185"/>
      <c r="D3" s="185"/>
      <c r="E3" s="185"/>
      <c r="F3" s="185"/>
      <c r="G3" s="185"/>
      <c r="H3" s="185"/>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86" t="s">
        <v>94</v>
      </c>
      <c r="C18" s="187"/>
      <c r="D18" s="187"/>
      <c r="E18" s="187"/>
      <c r="F18" s="187"/>
      <c r="G18" s="187"/>
    </row>
  </sheetData>
  <mergeCells count="3">
    <mergeCell ref="B2:H2"/>
    <mergeCell ref="B3:H3"/>
    <mergeCell ref="B18:G18"/>
  </mergeCells>
  <phoneticPr fontId="1" type="noConversion"/>
  <dataValidations disablePrompts="1" count="1">
    <dataValidation type="list" allowBlank="1" showInputMessage="1" showErrorMessage="1" sqref="G11:G16" xr:uid="{00000000-0002-0000-0600-000000000000}">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88" t="s">
        <v>57</v>
      </c>
      <c r="C2" s="189"/>
      <c r="D2" s="189"/>
      <c r="E2" s="189"/>
      <c r="F2" s="189"/>
      <c r="G2" s="189"/>
      <c r="H2" s="190"/>
    </row>
    <row r="3" spans="2:8" ht="141.75" customHeight="1" x14ac:dyDescent="0.2">
      <c r="B3" s="191" t="s">
        <v>100</v>
      </c>
      <c r="C3" s="192"/>
      <c r="D3" s="192"/>
      <c r="E3" s="192"/>
      <c r="F3" s="192"/>
      <c r="G3" s="192"/>
      <c r="H3" s="193"/>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94" t="s">
        <v>97</v>
      </c>
      <c r="F33" s="195"/>
      <c r="G33" s="202" t="s">
        <v>20</v>
      </c>
      <c r="H33" s="203"/>
    </row>
    <row r="34" spans="2:8" x14ac:dyDescent="0.2">
      <c r="B34" s="9"/>
      <c r="C34" s="9"/>
      <c r="D34" s="25"/>
      <c r="E34" s="196"/>
      <c r="F34" s="197"/>
      <c r="G34" s="198"/>
      <c r="H34" s="199"/>
    </row>
    <row r="35" spans="2:8" x14ac:dyDescent="0.2">
      <c r="B35" s="9"/>
      <c r="C35" s="9"/>
      <c r="D35" s="25"/>
      <c r="E35" s="196"/>
      <c r="F35" s="197"/>
      <c r="G35" s="198"/>
      <c r="H35" s="199"/>
    </row>
    <row r="36" spans="2:8" x14ac:dyDescent="0.2">
      <c r="B36" s="9"/>
      <c r="C36" s="9"/>
      <c r="D36" s="25"/>
      <c r="E36" s="196"/>
      <c r="F36" s="197"/>
      <c r="G36" s="198"/>
      <c r="H36" s="199"/>
    </row>
    <row r="38" spans="2:8" ht="78" customHeight="1" x14ac:dyDescent="0.2">
      <c r="B38" s="16" t="s">
        <v>62</v>
      </c>
      <c r="C38" s="200" t="s">
        <v>144</v>
      </c>
      <c r="D38" s="201"/>
      <c r="E38" s="201"/>
      <c r="F38" s="201"/>
      <c r="G38" s="201"/>
      <c r="H38" s="201"/>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xr:uid="{00000000-0002-0000-07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xr:uid="{00000000-0002-0000-0800-000000000000}">
      <formula1>"已提交,已关闭"</formula1>
    </dataValidation>
    <dataValidation type="list" allowBlank="1" showInputMessage="1" showErrorMessage="1" sqref="M2:M63" xr:uid="{00000000-0002-0000-0800-000001000000}">
      <formula1>"是,否"</formula1>
    </dataValidation>
    <dataValidation type="list" allowBlank="1" showInputMessage="1" showErrorMessage="1" sqref="I2:J63" xr:uid="{00000000-0002-0000-0800-000002000000}">
      <formula1>"10,9,8,7,6,5,4,3,2,1"</formula1>
    </dataValidation>
    <dataValidation type="list" allowBlank="1" showInputMessage="1" showErrorMessage="1" sqref="O2:O63" xr:uid="{00000000-0002-0000-0800-000003000000}">
      <formula1>版本名称</formula1>
    </dataValidation>
  </dataValidations>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E89A4-5D48-4684-B8B2-68D898D417AD}">
  <sheetPr codeName="Sheet23"/>
  <dimension ref="B1:G31"/>
  <sheetViews>
    <sheetView tabSelected="1" topLeftCell="B4" workbookViewId="0">
      <selection activeCell="B2" sqref="B2:G29"/>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hidden="1" x14ac:dyDescent="0.2"/>
    <row r="2" spans="2:7" ht="18" x14ac:dyDescent="0.2">
      <c r="B2" s="166" t="s">
        <v>329</v>
      </c>
      <c r="C2" s="166"/>
      <c r="D2" s="166"/>
      <c r="E2" s="166"/>
      <c r="F2" s="166"/>
      <c r="G2" s="166"/>
    </row>
    <row r="3" spans="2:7" ht="125.25" customHeight="1" x14ac:dyDescent="0.2">
      <c r="B3" s="167" t="s">
        <v>328</v>
      </c>
      <c r="C3" s="167"/>
      <c r="D3" s="167"/>
      <c r="E3" s="167"/>
      <c r="F3" s="167"/>
      <c r="G3" s="167"/>
    </row>
    <row r="4" spans="2:7" ht="13.5" customHeight="1" x14ac:dyDescent="0.2">
      <c r="B4" s="86"/>
      <c r="C4" s="87"/>
      <c r="D4" s="168"/>
      <c r="E4" s="169"/>
      <c r="F4" s="169"/>
      <c r="G4" s="170"/>
    </row>
    <row r="5" spans="2:7" ht="14.25" x14ac:dyDescent="0.3">
      <c r="B5" s="88" t="s">
        <v>266</v>
      </c>
      <c r="C5" s="77" t="s">
        <v>325</v>
      </c>
      <c r="D5" s="89"/>
      <c r="E5" s="90"/>
      <c r="F5" s="90"/>
      <c r="G5" s="91"/>
    </row>
    <row r="6" spans="2:7" ht="14.25" customHeight="1" x14ac:dyDescent="0.3">
      <c r="B6" s="83" t="s">
        <v>268</v>
      </c>
      <c r="C6" s="92">
        <f>COUNTIF(ISR清单!I4:I47,"待分析")</f>
        <v>0</v>
      </c>
      <c r="D6" s="89"/>
      <c r="E6" s="90"/>
      <c r="F6" s="90"/>
      <c r="G6" s="91"/>
    </row>
    <row r="7" spans="2:7" ht="14.25" customHeight="1" x14ac:dyDescent="0.3">
      <c r="B7" s="83" t="s">
        <v>269</v>
      </c>
      <c r="C7" s="92">
        <f>COUNTIF(ISR清单!I4:I47,"待排期")</f>
        <v>0</v>
      </c>
      <c r="D7" s="89"/>
      <c r="E7" s="90"/>
      <c r="F7" s="90"/>
      <c r="G7" s="91"/>
    </row>
    <row r="8" spans="2:7" ht="14.25" customHeight="1" x14ac:dyDescent="0.3">
      <c r="B8" s="83" t="s">
        <v>270</v>
      </c>
      <c r="C8" s="92">
        <f>COUNTIF(ISR清单!I4:I47,"已挂起")</f>
        <v>0</v>
      </c>
      <c r="D8" s="89"/>
      <c r="E8" s="90"/>
      <c r="F8" s="90"/>
      <c r="G8" s="91"/>
    </row>
    <row r="9" spans="2:7" ht="14.25" customHeight="1" x14ac:dyDescent="0.3">
      <c r="B9" s="83" t="s">
        <v>271</v>
      </c>
      <c r="C9" s="92">
        <f>[1]本月退回ISR清单!C5</f>
        <v>0</v>
      </c>
      <c r="D9" s="89"/>
      <c r="E9" s="90"/>
      <c r="F9" s="90"/>
      <c r="G9" s="91"/>
    </row>
    <row r="10" spans="2:7" s="50" customFormat="1" ht="12.75" customHeight="1" x14ac:dyDescent="0.2">
      <c r="B10" s="154" t="s">
        <v>272</v>
      </c>
      <c r="C10" s="93"/>
      <c r="D10" s="94"/>
      <c r="E10" s="90"/>
      <c r="F10" s="90"/>
      <c r="G10" s="91"/>
    </row>
    <row r="11" spans="2:7" ht="14.25" customHeight="1" x14ac:dyDescent="0.2">
      <c r="B11" s="95"/>
      <c r="C11" s="96"/>
      <c r="D11" s="96"/>
      <c r="E11" s="97"/>
      <c r="F11" s="97"/>
      <c r="G11" s="98"/>
    </row>
    <row r="12" spans="2:7" ht="14.25" x14ac:dyDescent="0.3">
      <c r="B12" s="79" t="s">
        <v>273</v>
      </c>
      <c r="C12" s="79" t="s">
        <v>274</v>
      </c>
      <c r="D12" s="79" t="s">
        <v>275</v>
      </c>
      <c r="E12" s="78"/>
      <c r="F12" s="71"/>
      <c r="G12" s="99"/>
    </row>
    <row r="13" spans="2:7" ht="28.5" x14ac:dyDescent="0.3">
      <c r="B13" s="100" t="s">
        <v>276</v>
      </c>
      <c r="C13" s="101">
        <v>43455</v>
      </c>
      <c r="D13" s="101">
        <v>43455</v>
      </c>
      <c r="E13" s="102"/>
      <c r="F13" s="90"/>
      <c r="G13" s="91"/>
    </row>
    <row r="14" spans="2:7" ht="14.25" x14ac:dyDescent="0.3">
      <c r="B14" s="103" t="s">
        <v>277</v>
      </c>
      <c r="C14" s="101">
        <v>43457</v>
      </c>
      <c r="D14" s="101">
        <v>43458</v>
      </c>
      <c r="E14" s="89"/>
      <c r="F14" s="90"/>
      <c r="G14" s="91"/>
    </row>
    <row r="15" spans="2:7" ht="14.25" x14ac:dyDescent="0.3">
      <c r="B15" s="100" t="s">
        <v>278</v>
      </c>
      <c r="C15" s="101">
        <v>43457</v>
      </c>
      <c r="D15" s="101">
        <v>43458</v>
      </c>
      <c r="E15" s="102"/>
      <c r="F15" s="90"/>
      <c r="G15" s="91"/>
    </row>
    <row r="16" spans="2:7" ht="14.25" x14ac:dyDescent="0.3">
      <c r="B16" s="103" t="s">
        <v>279</v>
      </c>
      <c r="C16" s="101">
        <v>43458</v>
      </c>
      <c r="D16" s="101">
        <v>43458</v>
      </c>
      <c r="E16" s="102"/>
      <c r="F16" s="90"/>
      <c r="G16" s="91"/>
    </row>
    <row r="17" spans="2:7" ht="14.25" x14ac:dyDescent="0.2">
      <c r="B17" s="154" t="s">
        <v>280</v>
      </c>
      <c r="C17" s="155"/>
      <c r="D17" s="155"/>
      <c r="E17" s="155"/>
      <c r="F17" s="155"/>
      <c r="G17" s="156"/>
    </row>
    <row r="18" spans="2:7" ht="28.5" x14ac:dyDescent="0.2">
      <c r="B18" s="80" t="s">
        <v>190</v>
      </c>
      <c r="C18" s="81" t="s">
        <v>44</v>
      </c>
      <c r="D18" s="80" t="s">
        <v>46</v>
      </c>
      <c r="E18" s="80" t="s">
        <v>48</v>
      </c>
      <c r="F18" s="82" t="s">
        <v>281</v>
      </c>
      <c r="G18" s="80" t="s">
        <v>191</v>
      </c>
    </row>
    <row r="19" spans="2:7" x14ac:dyDescent="0.2">
      <c r="B19" s="141" t="s">
        <v>326</v>
      </c>
      <c r="C19" s="142">
        <v>43453</v>
      </c>
      <c r="D19" s="141" t="s">
        <v>327</v>
      </c>
      <c r="E19" s="141" t="s">
        <v>310</v>
      </c>
      <c r="F19" s="141" t="s">
        <v>236</v>
      </c>
      <c r="G19" s="141"/>
    </row>
    <row r="20" spans="2:7" x14ac:dyDescent="0.2">
      <c r="B20" s="141"/>
      <c r="C20" s="142"/>
      <c r="D20" s="141"/>
      <c r="E20" s="141"/>
      <c r="F20" s="141"/>
      <c r="G20" s="141"/>
    </row>
    <row r="21" spans="2:7" x14ac:dyDescent="0.2">
      <c r="B21" s="141"/>
      <c r="C21" s="142"/>
      <c r="D21" s="141"/>
      <c r="E21" s="141"/>
      <c r="F21" s="141"/>
      <c r="G21" s="141"/>
    </row>
    <row r="22" spans="2:7" ht="14.25" x14ac:dyDescent="0.2">
      <c r="B22" s="171" t="s">
        <v>289</v>
      </c>
      <c r="C22" s="172"/>
      <c r="D22" s="172"/>
      <c r="E22" s="172"/>
      <c r="F22" s="172"/>
      <c r="G22" s="173"/>
    </row>
    <row r="23" spans="2:7" ht="25.5" customHeight="1" x14ac:dyDescent="0.2">
      <c r="B23" s="80" t="s">
        <v>290</v>
      </c>
      <c r="C23" s="80" t="s">
        <v>291</v>
      </c>
      <c r="D23" s="80" t="s">
        <v>292</v>
      </c>
      <c r="E23" s="80" t="s">
        <v>48</v>
      </c>
      <c r="F23" s="80" t="s">
        <v>293</v>
      </c>
      <c r="G23" s="80" t="s">
        <v>191</v>
      </c>
    </row>
    <row r="24" spans="2:7" x14ac:dyDescent="0.2">
      <c r="B24" s="143"/>
      <c r="C24" s="144"/>
      <c r="D24" s="143"/>
      <c r="E24" s="145"/>
      <c r="F24" s="143"/>
      <c r="G24" s="143"/>
    </row>
    <row r="25" spans="2:7" x14ac:dyDescent="0.2">
      <c r="B25" s="143"/>
      <c r="C25" s="144"/>
      <c r="D25" s="143"/>
      <c r="E25" s="145"/>
      <c r="F25" s="143"/>
      <c r="G25" s="143"/>
    </row>
    <row r="26" spans="2:7" ht="14.25" x14ac:dyDescent="0.2">
      <c r="B26" s="171" t="s">
        <v>296</v>
      </c>
      <c r="C26" s="172"/>
      <c r="D26" s="172"/>
      <c r="E26" s="172"/>
      <c r="F26" s="172"/>
      <c r="G26" s="173"/>
    </row>
    <row r="27" spans="2:7" ht="14.25" x14ac:dyDescent="0.2">
      <c r="B27" s="80" t="s">
        <v>297</v>
      </c>
      <c r="C27" s="80" t="s">
        <v>266</v>
      </c>
      <c r="D27" s="80" t="s">
        <v>298</v>
      </c>
      <c r="E27" s="174" t="s">
        <v>299</v>
      </c>
      <c r="F27" s="175"/>
      <c r="G27" s="80" t="s">
        <v>300</v>
      </c>
    </row>
    <row r="28" spans="2:7" x14ac:dyDescent="0.2">
      <c r="B28" s="153"/>
      <c r="C28" s="153"/>
      <c r="D28" s="152"/>
      <c r="E28" s="159"/>
      <c r="F28" s="160"/>
      <c r="G28" s="148"/>
    </row>
    <row r="29" spans="2:7" x14ac:dyDescent="0.2">
      <c r="B29" s="153"/>
      <c r="C29" s="153"/>
      <c r="D29" s="152"/>
      <c r="E29" s="161"/>
      <c r="F29" s="162"/>
      <c r="G29" s="148"/>
    </row>
    <row r="30" spans="2:7" x14ac:dyDescent="0.2">
      <c r="B30" s="157"/>
      <c r="C30" s="157"/>
      <c r="D30" s="157"/>
      <c r="E30" s="163"/>
      <c r="F30" s="164"/>
      <c r="G30" s="157"/>
    </row>
    <row r="31" spans="2:7" ht="88.5" customHeight="1" x14ac:dyDescent="0.2">
      <c r="B31" s="149" t="s">
        <v>304</v>
      </c>
      <c r="C31" s="165" t="s">
        <v>305</v>
      </c>
      <c r="D31" s="165"/>
      <c r="E31" s="165"/>
      <c r="F31" s="165"/>
      <c r="G31" s="165"/>
    </row>
  </sheetData>
  <mergeCells count="10">
    <mergeCell ref="E28:F28"/>
    <mergeCell ref="E29:F29"/>
    <mergeCell ref="E30:F30"/>
    <mergeCell ref="C31:G31"/>
    <mergeCell ref="B2:G2"/>
    <mergeCell ref="B3:G3"/>
    <mergeCell ref="D4:G4"/>
    <mergeCell ref="B22:G22"/>
    <mergeCell ref="B26:G26"/>
    <mergeCell ref="E27:F27"/>
  </mergeCells>
  <phoneticPr fontId="1" type="noConversion"/>
  <dataValidations count="1">
    <dataValidation type="list" allowBlank="1" showInputMessage="1" showErrorMessage="1" sqref="C5" xr:uid="{D0DB1730-C8A8-45C4-BF2C-C629F83772DF}">
      <formula1>版本名称1</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4449"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04449" r:id="rId4"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dimension ref="B1:G30"/>
  <sheetViews>
    <sheetView topLeftCell="B2" workbookViewId="0">
      <selection activeCell="E32" sqref="E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hidden="1" x14ac:dyDescent="0.2"/>
    <row r="2" spans="2:7" ht="18" x14ac:dyDescent="0.2">
      <c r="B2" s="166" t="s">
        <v>319</v>
      </c>
      <c r="C2" s="166"/>
      <c r="D2" s="166"/>
      <c r="E2" s="166"/>
      <c r="F2" s="166"/>
      <c r="G2" s="166"/>
    </row>
    <row r="3" spans="2:7" ht="125.25" customHeight="1" x14ac:dyDescent="0.2">
      <c r="B3" s="167" t="s">
        <v>318</v>
      </c>
      <c r="C3" s="167"/>
      <c r="D3" s="167"/>
      <c r="E3" s="167"/>
      <c r="F3" s="167"/>
      <c r="G3" s="167"/>
    </row>
    <row r="4" spans="2:7" ht="13.5" customHeight="1" x14ac:dyDescent="0.2">
      <c r="B4" s="86"/>
      <c r="C4" s="87"/>
      <c r="D4" s="168"/>
      <c r="E4" s="169"/>
      <c r="F4" s="169"/>
      <c r="G4" s="170"/>
    </row>
    <row r="5" spans="2:7" ht="14.25" x14ac:dyDescent="0.3">
      <c r="B5" s="88" t="s">
        <v>266</v>
      </c>
      <c r="C5" s="77" t="s">
        <v>315</v>
      </c>
      <c r="D5" s="89"/>
      <c r="E5" s="90"/>
      <c r="F5" s="90"/>
      <c r="G5" s="91"/>
    </row>
    <row r="6" spans="2:7" ht="14.25" customHeight="1" x14ac:dyDescent="0.3">
      <c r="B6" s="83" t="s">
        <v>268</v>
      </c>
      <c r="C6" s="92">
        <f>COUNTIF(ISR清单!I4:I47,"待分析")</f>
        <v>0</v>
      </c>
      <c r="D6" s="89"/>
      <c r="E6" s="90"/>
      <c r="F6" s="90"/>
      <c r="G6" s="91"/>
    </row>
    <row r="7" spans="2:7" ht="14.25" customHeight="1" x14ac:dyDescent="0.3">
      <c r="B7" s="83" t="s">
        <v>269</v>
      </c>
      <c r="C7" s="92">
        <f>COUNTIF(ISR清单!I4:I47,"待排期")</f>
        <v>0</v>
      </c>
      <c r="D7" s="89"/>
      <c r="E7" s="90"/>
      <c r="F7" s="90"/>
      <c r="G7" s="91"/>
    </row>
    <row r="8" spans="2:7" ht="14.25" customHeight="1" x14ac:dyDescent="0.3">
      <c r="B8" s="83" t="s">
        <v>270</v>
      </c>
      <c r="C8" s="92">
        <f>COUNTIF(ISR清单!I4:I47,"已挂起")</f>
        <v>0</v>
      </c>
      <c r="D8" s="89"/>
      <c r="E8" s="90"/>
      <c r="F8" s="90"/>
      <c r="G8" s="91"/>
    </row>
    <row r="9" spans="2:7" ht="14.25" customHeight="1" x14ac:dyDescent="0.3">
      <c r="B9" s="83" t="s">
        <v>271</v>
      </c>
      <c r="C9" s="92">
        <f>[1]本月退回ISR清单!C5</f>
        <v>0</v>
      </c>
      <c r="D9" s="89"/>
      <c r="E9" s="90"/>
      <c r="F9" s="90"/>
      <c r="G9" s="91"/>
    </row>
    <row r="10" spans="2:7" s="50" customFormat="1" ht="12.75" customHeight="1" x14ac:dyDescent="0.2">
      <c r="B10" s="132" t="s">
        <v>272</v>
      </c>
      <c r="C10" s="93"/>
      <c r="D10" s="94"/>
      <c r="E10" s="90"/>
      <c r="F10" s="90"/>
      <c r="G10" s="91"/>
    </row>
    <row r="11" spans="2:7" ht="14.25" customHeight="1" x14ac:dyDescent="0.2">
      <c r="B11" s="95"/>
      <c r="C11" s="96"/>
      <c r="D11" s="96"/>
      <c r="E11" s="97"/>
      <c r="F11" s="97"/>
      <c r="G11" s="98"/>
    </row>
    <row r="12" spans="2:7" ht="14.25" x14ac:dyDescent="0.3">
      <c r="B12" s="79" t="s">
        <v>273</v>
      </c>
      <c r="C12" s="79" t="s">
        <v>274</v>
      </c>
      <c r="D12" s="79" t="s">
        <v>275</v>
      </c>
      <c r="E12" s="78"/>
      <c r="F12" s="71"/>
      <c r="G12" s="99"/>
    </row>
    <row r="13" spans="2:7" ht="28.5" x14ac:dyDescent="0.3">
      <c r="B13" s="100" t="s">
        <v>276</v>
      </c>
      <c r="C13" s="101">
        <v>43419</v>
      </c>
      <c r="D13" s="101">
        <v>43419</v>
      </c>
      <c r="E13" s="102"/>
      <c r="F13" s="90"/>
      <c r="G13" s="91"/>
    </row>
    <row r="14" spans="2:7" ht="14.25" x14ac:dyDescent="0.3">
      <c r="B14" s="103" t="s">
        <v>277</v>
      </c>
      <c r="C14" s="101">
        <v>43420</v>
      </c>
      <c r="D14" s="101">
        <v>43427</v>
      </c>
      <c r="E14" s="89"/>
      <c r="F14" s="90"/>
      <c r="G14" s="91"/>
    </row>
    <row r="15" spans="2:7" ht="14.25" x14ac:dyDescent="0.3">
      <c r="B15" s="100" t="s">
        <v>278</v>
      </c>
      <c r="C15" s="101">
        <v>43425</v>
      </c>
      <c r="D15" s="101">
        <v>43427</v>
      </c>
      <c r="E15" s="102"/>
      <c r="F15" s="90"/>
      <c r="G15" s="91"/>
    </row>
    <row r="16" spans="2:7" ht="14.25" x14ac:dyDescent="0.3">
      <c r="B16" s="103" t="s">
        <v>279</v>
      </c>
      <c r="C16" s="101">
        <v>43430</v>
      </c>
      <c r="D16" s="101">
        <v>43430</v>
      </c>
      <c r="E16" s="102"/>
      <c r="F16" s="90"/>
      <c r="G16" s="91"/>
    </row>
    <row r="17" spans="2:7" ht="14.25" x14ac:dyDescent="0.2">
      <c r="B17" s="132" t="s">
        <v>280</v>
      </c>
      <c r="C17" s="133"/>
      <c r="D17" s="133"/>
      <c r="E17" s="133"/>
      <c r="F17" s="133"/>
      <c r="G17" s="134"/>
    </row>
    <row r="18" spans="2:7" ht="28.5" x14ac:dyDescent="0.2">
      <c r="B18" s="80" t="s">
        <v>190</v>
      </c>
      <c r="C18" s="81" t="s">
        <v>44</v>
      </c>
      <c r="D18" s="80" t="s">
        <v>46</v>
      </c>
      <c r="E18" s="80" t="s">
        <v>48</v>
      </c>
      <c r="F18" s="82" t="s">
        <v>281</v>
      </c>
      <c r="G18" s="80" t="s">
        <v>191</v>
      </c>
    </row>
    <row r="19" spans="2:7" x14ac:dyDescent="0.2">
      <c r="B19" s="141" t="s">
        <v>242</v>
      </c>
      <c r="C19" s="142">
        <v>43344</v>
      </c>
      <c r="D19" s="141" t="s">
        <v>308</v>
      </c>
      <c r="E19" s="141" t="s">
        <v>310</v>
      </c>
      <c r="F19" s="141" t="s">
        <v>236</v>
      </c>
      <c r="G19" s="141"/>
    </row>
    <row r="20" spans="2:7" x14ac:dyDescent="0.2">
      <c r="B20" s="141" t="s">
        <v>242</v>
      </c>
      <c r="C20" s="142">
        <v>43344</v>
      </c>
      <c r="D20" s="141" t="s">
        <v>316</v>
      </c>
      <c r="E20" s="141" t="s">
        <v>310</v>
      </c>
      <c r="F20" s="141" t="s">
        <v>236</v>
      </c>
      <c r="G20" s="141"/>
    </row>
    <row r="21" spans="2:7" ht="14.25" x14ac:dyDescent="0.2">
      <c r="B21" s="171" t="s">
        <v>289</v>
      </c>
      <c r="C21" s="172"/>
      <c r="D21" s="172"/>
      <c r="E21" s="172"/>
      <c r="F21" s="172"/>
      <c r="G21" s="173"/>
    </row>
    <row r="22" spans="2:7" ht="25.5" customHeight="1" x14ac:dyDescent="0.2">
      <c r="B22" s="80" t="s">
        <v>290</v>
      </c>
      <c r="C22" s="80" t="s">
        <v>291</v>
      </c>
      <c r="D22" s="80" t="s">
        <v>292</v>
      </c>
      <c r="E22" s="80" t="s">
        <v>48</v>
      </c>
      <c r="F22" s="80" t="s">
        <v>293</v>
      </c>
      <c r="G22" s="80" t="s">
        <v>191</v>
      </c>
    </row>
    <row r="23" spans="2:7" x14ac:dyDescent="0.2">
      <c r="B23" s="143"/>
      <c r="C23" s="144"/>
      <c r="D23" s="143"/>
      <c r="E23" s="145"/>
      <c r="F23" s="143"/>
      <c r="G23" s="143"/>
    </row>
    <row r="24" spans="2:7" x14ac:dyDescent="0.2">
      <c r="B24" s="143"/>
      <c r="C24" s="144"/>
      <c r="D24" s="143"/>
      <c r="E24" s="145"/>
      <c r="F24" s="143"/>
      <c r="G24" s="143"/>
    </row>
    <row r="25" spans="2:7" ht="14.25" x14ac:dyDescent="0.2">
      <c r="B25" s="171" t="s">
        <v>296</v>
      </c>
      <c r="C25" s="172"/>
      <c r="D25" s="172"/>
      <c r="E25" s="172"/>
      <c r="F25" s="172"/>
      <c r="G25" s="173"/>
    </row>
    <row r="26" spans="2:7" ht="14.25" x14ac:dyDescent="0.2">
      <c r="B26" s="80" t="s">
        <v>297</v>
      </c>
      <c r="C26" s="80" t="s">
        <v>266</v>
      </c>
      <c r="D26" s="80" t="s">
        <v>298</v>
      </c>
      <c r="E26" s="174" t="s">
        <v>299</v>
      </c>
      <c r="F26" s="175"/>
      <c r="G26" s="80" t="s">
        <v>300</v>
      </c>
    </row>
    <row r="27" spans="2:7" x14ac:dyDescent="0.2">
      <c r="B27" s="146" t="s">
        <v>184</v>
      </c>
      <c r="C27" s="146" t="s">
        <v>320</v>
      </c>
      <c r="D27" s="147">
        <v>43430</v>
      </c>
      <c r="E27" s="159" t="s">
        <v>186</v>
      </c>
      <c r="F27" s="160"/>
      <c r="G27" s="148"/>
    </row>
    <row r="28" spans="2:7" x14ac:dyDescent="0.2">
      <c r="B28" s="146"/>
      <c r="C28" s="146"/>
      <c r="D28" s="147"/>
      <c r="E28" s="161"/>
      <c r="F28" s="162"/>
      <c r="G28" s="148"/>
    </row>
    <row r="29" spans="2:7" x14ac:dyDescent="0.2">
      <c r="B29" s="135"/>
      <c r="C29" s="135"/>
      <c r="D29" s="135"/>
      <c r="E29" s="163"/>
      <c r="F29" s="164"/>
      <c r="G29" s="135"/>
    </row>
    <row r="30" spans="2:7" ht="88.5" customHeight="1" x14ac:dyDescent="0.2">
      <c r="B30" s="149" t="s">
        <v>304</v>
      </c>
      <c r="C30" s="165" t="s">
        <v>305</v>
      </c>
      <c r="D30" s="165"/>
      <c r="E30" s="165"/>
      <c r="F30" s="165"/>
      <c r="G30" s="165"/>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900-000000000000}">
      <formula1>版本名称1</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3969"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83969"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dimension ref="B2:G29"/>
  <sheetViews>
    <sheetView topLeftCell="B1" workbookViewId="0">
      <selection activeCell="C5" sqref="C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6" t="s">
        <v>253</v>
      </c>
      <c r="C2" s="166"/>
      <c r="D2" s="166"/>
      <c r="E2" s="166"/>
      <c r="F2" s="166"/>
      <c r="G2" s="166"/>
    </row>
    <row r="3" spans="2:7" ht="125.25" customHeight="1" x14ac:dyDescent="0.2">
      <c r="B3" s="167" t="s">
        <v>263</v>
      </c>
      <c r="C3" s="167"/>
      <c r="D3" s="167"/>
      <c r="E3" s="167"/>
      <c r="F3" s="167"/>
      <c r="G3" s="167"/>
    </row>
    <row r="4" spans="2:7" ht="13.5" customHeight="1" x14ac:dyDescent="0.2">
      <c r="B4" s="86"/>
      <c r="C4" s="87"/>
      <c r="D4" s="168"/>
      <c r="E4" s="169"/>
      <c r="F4" s="169"/>
      <c r="G4" s="170"/>
    </row>
    <row r="5" spans="2:7" ht="14.25" x14ac:dyDescent="0.3">
      <c r="B5" s="88" t="s">
        <v>14</v>
      </c>
      <c r="C5" s="77" t="s">
        <v>260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43396</v>
      </c>
      <c r="D13" s="101">
        <v>43396</v>
      </c>
      <c r="E13" s="102"/>
      <c r="F13" s="90"/>
      <c r="G13" s="91"/>
    </row>
    <row r="14" spans="2:7" ht="14.25" x14ac:dyDescent="0.3">
      <c r="B14" s="103" t="s">
        <v>74</v>
      </c>
      <c r="C14" s="101">
        <v>43396</v>
      </c>
      <c r="D14" s="101">
        <v>43397</v>
      </c>
      <c r="E14" s="89"/>
      <c r="F14" s="90"/>
      <c r="G14" s="91"/>
    </row>
    <row r="15" spans="2:7" ht="14.25" x14ac:dyDescent="0.3">
      <c r="B15" s="100" t="s">
        <v>73</v>
      </c>
      <c r="C15" s="101">
        <v>43396</v>
      </c>
      <c r="D15" s="101">
        <v>43397</v>
      </c>
      <c r="E15" s="102"/>
      <c r="F15" s="90"/>
      <c r="G15" s="91"/>
    </row>
    <row r="16" spans="2:7" ht="14.25" x14ac:dyDescent="0.3">
      <c r="B16" s="103" t="s">
        <v>19</v>
      </c>
      <c r="C16" s="101">
        <v>43398</v>
      </c>
      <c r="D16" s="101">
        <v>43398</v>
      </c>
      <c r="E16" s="102"/>
      <c r="F16" s="90"/>
      <c r="G16" s="91"/>
    </row>
    <row r="17" spans="2:7" ht="14.25" x14ac:dyDescent="0.2">
      <c r="B17" s="128" t="s">
        <v>68</v>
      </c>
      <c r="C17" s="129"/>
      <c r="D17" s="129"/>
      <c r="E17" s="129"/>
      <c r="F17" s="129"/>
      <c r="G17" s="130"/>
    </row>
    <row r="18" spans="2:7" ht="28.5" x14ac:dyDescent="0.2">
      <c r="B18" s="80" t="s">
        <v>190</v>
      </c>
      <c r="C18" s="81" t="s">
        <v>44</v>
      </c>
      <c r="D18" s="80" t="s">
        <v>46</v>
      </c>
      <c r="E18" s="80" t="s">
        <v>48</v>
      </c>
      <c r="F18" s="82" t="s">
        <v>192</v>
      </c>
      <c r="G18" s="80" t="s">
        <v>191</v>
      </c>
    </row>
    <row r="19" spans="2:7" ht="43.5" customHeight="1" x14ac:dyDescent="0.2">
      <c r="B19" s="85" t="s">
        <v>261</v>
      </c>
      <c r="C19" s="106">
        <v>43252</v>
      </c>
      <c r="D19" s="85" t="s">
        <v>257</v>
      </c>
      <c r="E19" s="85" t="s">
        <v>240</v>
      </c>
      <c r="F19" s="85" t="s">
        <v>236</v>
      </c>
      <c r="G19" s="85"/>
    </row>
    <row r="20" spans="2:7" ht="43.5" customHeight="1" x14ac:dyDescent="0.2">
      <c r="B20" s="137"/>
      <c r="C20" s="138"/>
      <c r="D20" s="139"/>
      <c r="E20" s="139"/>
      <c r="F20" s="139"/>
      <c r="G20" s="140"/>
    </row>
    <row r="21" spans="2:7" ht="25.5" customHeight="1" x14ac:dyDescent="0.2">
      <c r="B21" s="171" t="s">
        <v>69</v>
      </c>
      <c r="C21" s="172"/>
      <c r="D21" s="172"/>
      <c r="E21" s="172"/>
      <c r="F21" s="172"/>
      <c r="G21" s="173"/>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1" t="s">
        <v>70</v>
      </c>
      <c r="C26" s="172"/>
      <c r="D26" s="172"/>
      <c r="E26" s="172"/>
      <c r="F26" s="172"/>
      <c r="G26" s="173"/>
    </row>
    <row r="27" spans="2:7" ht="14.25" x14ac:dyDescent="0.2">
      <c r="B27" s="80" t="s">
        <v>67</v>
      </c>
      <c r="C27" s="80" t="s">
        <v>14</v>
      </c>
      <c r="D27" s="80" t="s">
        <v>66</v>
      </c>
      <c r="E27" s="174" t="s">
        <v>97</v>
      </c>
      <c r="F27" s="175"/>
      <c r="G27" s="80" t="s">
        <v>16</v>
      </c>
    </row>
    <row r="28" spans="2:7" x14ac:dyDescent="0.2">
      <c r="B28" s="131"/>
      <c r="C28" s="131"/>
      <c r="D28" s="131"/>
      <c r="E28" s="163"/>
      <c r="F28" s="164"/>
      <c r="G28" s="131"/>
    </row>
    <row r="29" spans="2:7" ht="88.5" customHeight="1" x14ac:dyDescent="0.2">
      <c r="B29" s="110" t="s">
        <v>62</v>
      </c>
      <c r="C29" s="204" t="s">
        <v>215</v>
      </c>
      <c r="D29" s="204"/>
      <c r="E29" s="204"/>
      <c r="F29" s="204"/>
      <c r="G29" s="204"/>
    </row>
  </sheetData>
  <mergeCells count="8">
    <mergeCell ref="E28:F28"/>
    <mergeCell ref="C29:G29"/>
    <mergeCell ref="B2:G2"/>
    <mergeCell ref="B3:G3"/>
    <mergeCell ref="D4:G4"/>
    <mergeCell ref="B21:G21"/>
    <mergeCell ref="B26:G26"/>
    <mergeCell ref="E27:F27"/>
  </mergeCells>
  <phoneticPr fontId="1" type="noConversion"/>
  <dataValidations count="1">
    <dataValidation type="list" allowBlank="1" showInputMessage="1" showErrorMessage="1" sqref="C5" xr:uid="{00000000-0002-0000-0A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270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72706" r:id="rId4" name="CommandButton2"/>
      </mc:Fallback>
    </mc:AlternateContent>
    <mc:AlternateContent xmlns:mc="http://schemas.openxmlformats.org/markup-compatibility/2006">
      <mc:Choice Requires="x14">
        <control shapeId="7270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72705"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B2:G28"/>
  <sheetViews>
    <sheetView topLeftCell="B9" workbookViewId="0">
      <selection activeCell="C5" sqref="C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6" t="s">
        <v>253</v>
      </c>
      <c r="C2" s="166"/>
      <c r="D2" s="166"/>
      <c r="E2" s="166"/>
      <c r="F2" s="166"/>
      <c r="G2" s="166"/>
    </row>
    <row r="3" spans="2:7" ht="125.25" customHeight="1" x14ac:dyDescent="0.2">
      <c r="B3" s="167" t="s">
        <v>254</v>
      </c>
      <c r="C3" s="167"/>
      <c r="D3" s="167"/>
      <c r="E3" s="167"/>
      <c r="F3" s="167"/>
      <c r="G3" s="167"/>
    </row>
    <row r="4" spans="2:7" ht="13.5" customHeight="1" x14ac:dyDescent="0.2">
      <c r="B4" s="86"/>
      <c r="C4" s="87"/>
      <c r="D4" s="168"/>
      <c r="E4" s="169"/>
      <c r="F4" s="169"/>
      <c r="G4" s="170"/>
    </row>
    <row r="5" spans="2:7" ht="14.25" x14ac:dyDescent="0.3">
      <c r="B5" s="88" t="s">
        <v>14</v>
      </c>
      <c r="C5" s="77" t="s">
        <v>247</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43217</v>
      </c>
      <c r="D13" s="101">
        <v>43217</v>
      </c>
      <c r="E13" s="102"/>
      <c r="F13" s="90"/>
      <c r="G13" s="91"/>
    </row>
    <row r="14" spans="2:7" ht="14.25" x14ac:dyDescent="0.3">
      <c r="B14" s="103" t="s">
        <v>74</v>
      </c>
      <c r="C14" s="101">
        <v>43227</v>
      </c>
      <c r="D14" s="101">
        <v>43229</v>
      </c>
      <c r="E14" s="89"/>
      <c r="F14" s="90"/>
      <c r="G14" s="91"/>
    </row>
    <row r="15" spans="2:7" ht="14.25" x14ac:dyDescent="0.3">
      <c r="B15" s="100" t="s">
        <v>73</v>
      </c>
      <c r="C15" s="101">
        <v>43228</v>
      </c>
      <c r="D15" s="101">
        <v>43229</v>
      </c>
      <c r="E15" s="102"/>
      <c r="F15" s="90"/>
      <c r="G15" s="91"/>
    </row>
    <row r="16" spans="2:7" ht="14.25" x14ac:dyDescent="0.3">
      <c r="B16" s="103" t="s">
        <v>19</v>
      </c>
      <c r="C16" s="101">
        <v>43230</v>
      </c>
      <c r="D16" s="101">
        <v>43230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c r="C19" s="106">
        <v>43192</v>
      </c>
      <c r="D19" s="85" t="s">
        <v>237</v>
      </c>
      <c r="E19" s="85" t="s">
        <v>238</v>
      </c>
      <c r="F19" s="85" t="s">
        <v>236</v>
      </c>
      <c r="G19" s="85"/>
    </row>
    <row r="20" spans="2:7" ht="25.5" customHeight="1" x14ac:dyDescent="0.2">
      <c r="B20" s="171" t="s">
        <v>69</v>
      </c>
      <c r="C20" s="172"/>
      <c r="D20" s="172"/>
      <c r="E20" s="172"/>
      <c r="F20" s="172"/>
      <c r="G20" s="173"/>
    </row>
    <row r="21" spans="2:7" ht="28.5" x14ac:dyDescent="0.2">
      <c r="B21" s="80" t="s">
        <v>51</v>
      </c>
      <c r="C21" s="80" t="s">
        <v>52</v>
      </c>
      <c r="D21" s="80" t="s">
        <v>54</v>
      </c>
      <c r="E21" s="80" t="s">
        <v>102</v>
      </c>
      <c r="F21" s="80" t="s">
        <v>99</v>
      </c>
      <c r="G21" s="80" t="s">
        <v>49</v>
      </c>
    </row>
    <row r="22" spans="2:7" ht="14.25" x14ac:dyDescent="0.3">
      <c r="B22" s="83"/>
      <c r="C22" s="101">
        <v>43217</v>
      </c>
      <c r="D22" s="83" t="s">
        <v>249</v>
      </c>
      <c r="E22" s="92"/>
      <c r="F22" s="83"/>
      <c r="G22" s="83"/>
    </row>
    <row r="23" spans="2:7" ht="14.25" x14ac:dyDescent="0.3">
      <c r="B23" s="83"/>
      <c r="C23" s="101">
        <v>43217</v>
      </c>
      <c r="D23" s="83" t="s">
        <v>251</v>
      </c>
      <c r="E23" s="92"/>
      <c r="F23" s="83"/>
      <c r="G23" s="83"/>
    </row>
    <row r="24" spans="2:7" ht="14.25" x14ac:dyDescent="0.3">
      <c r="B24" s="123"/>
      <c r="C24" s="124"/>
      <c r="D24" s="125"/>
      <c r="E24" s="126"/>
      <c r="F24" s="125"/>
      <c r="G24" s="127"/>
    </row>
    <row r="25" spans="2:7" ht="23.25" customHeight="1" x14ac:dyDescent="0.2">
      <c r="B25" s="171" t="s">
        <v>70</v>
      </c>
      <c r="C25" s="172"/>
      <c r="D25" s="172"/>
      <c r="E25" s="172"/>
      <c r="F25" s="172"/>
      <c r="G25" s="173"/>
    </row>
    <row r="26" spans="2:7" ht="14.25" x14ac:dyDescent="0.2">
      <c r="B26" s="80" t="s">
        <v>67</v>
      </c>
      <c r="C26" s="80" t="s">
        <v>14</v>
      </c>
      <c r="D26" s="80" t="s">
        <v>66</v>
      </c>
      <c r="E26" s="174" t="s">
        <v>97</v>
      </c>
      <c r="F26" s="175"/>
      <c r="G26" s="80" t="s">
        <v>16</v>
      </c>
    </row>
    <row r="27" spans="2:7" x14ac:dyDescent="0.2">
      <c r="B27" s="56"/>
      <c r="C27" s="56"/>
      <c r="D27" s="56"/>
      <c r="E27" s="163"/>
      <c r="F27" s="164"/>
      <c r="G27" s="56"/>
    </row>
    <row r="28" spans="2:7" ht="88.5" customHeight="1" x14ac:dyDescent="0.2">
      <c r="B28" s="110" t="s">
        <v>62</v>
      </c>
      <c r="C28" s="204" t="s">
        <v>215</v>
      </c>
      <c r="D28" s="204"/>
      <c r="E28" s="204"/>
      <c r="F28" s="204"/>
      <c r="G28" s="204"/>
    </row>
  </sheetData>
  <mergeCells count="8">
    <mergeCell ref="E27:F27"/>
    <mergeCell ref="C28:G28"/>
    <mergeCell ref="B2:G2"/>
    <mergeCell ref="B3:G3"/>
    <mergeCell ref="D4:G4"/>
    <mergeCell ref="B20:G20"/>
    <mergeCell ref="B25:G25"/>
    <mergeCell ref="E26:F26"/>
  </mergeCells>
  <phoneticPr fontId="64" type="noConversion"/>
  <dataValidations count="1">
    <dataValidation type="list" allowBlank="1" showInputMessage="1" showErrorMessage="1" sqref="C5" xr:uid="{00000000-0002-0000-0B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6" t="s">
        <v>245</v>
      </c>
      <c r="C2" s="166"/>
      <c r="D2" s="166"/>
      <c r="E2" s="166"/>
      <c r="F2" s="166"/>
      <c r="G2" s="166"/>
    </row>
    <row r="3" spans="2:7" ht="125.25" customHeight="1" x14ac:dyDescent="0.2">
      <c r="B3" s="167" t="s">
        <v>244</v>
      </c>
      <c r="C3" s="167"/>
      <c r="D3" s="167"/>
      <c r="E3" s="167"/>
      <c r="F3" s="167"/>
      <c r="G3" s="167"/>
    </row>
    <row r="4" spans="2:7" ht="13.5" customHeight="1" x14ac:dyDescent="0.2">
      <c r="B4" s="86"/>
      <c r="C4" s="87"/>
      <c r="D4" s="168"/>
      <c r="E4" s="169"/>
      <c r="F4" s="169"/>
      <c r="G4" s="170"/>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71" t="s">
        <v>69</v>
      </c>
      <c r="C24" s="172"/>
      <c r="D24" s="172"/>
      <c r="E24" s="172"/>
      <c r="F24" s="172"/>
      <c r="G24" s="173"/>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1" t="s">
        <v>70</v>
      </c>
      <c r="C27" s="172"/>
      <c r="D27" s="172"/>
      <c r="E27" s="172"/>
      <c r="F27" s="172"/>
      <c r="G27" s="173"/>
    </row>
    <row r="28" spans="2:7" ht="14.25" x14ac:dyDescent="0.2">
      <c r="B28" s="80" t="s">
        <v>67</v>
      </c>
      <c r="C28" s="80" t="s">
        <v>14</v>
      </c>
      <c r="D28" s="80" t="s">
        <v>66</v>
      </c>
      <c r="E28" s="174" t="s">
        <v>97</v>
      </c>
      <c r="F28" s="175"/>
      <c r="G28" s="80" t="s">
        <v>16</v>
      </c>
    </row>
    <row r="29" spans="2:7" x14ac:dyDescent="0.2">
      <c r="B29" s="56"/>
      <c r="C29" s="56"/>
      <c r="D29" s="107"/>
      <c r="E29" s="205"/>
      <c r="F29" s="164"/>
      <c r="G29" s="108"/>
    </row>
    <row r="30" spans="2:7" x14ac:dyDescent="0.2">
      <c r="B30" s="109"/>
      <c r="C30" s="56"/>
      <c r="D30" s="107"/>
      <c r="E30" s="206"/>
      <c r="F30" s="207"/>
      <c r="G30" s="108"/>
    </row>
    <row r="31" spans="2:7" x14ac:dyDescent="0.2">
      <c r="B31" s="56"/>
      <c r="C31" s="56"/>
      <c r="D31" s="56"/>
      <c r="E31" s="163"/>
      <c r="F31" s="164"/>
      <c r="G31" s="56"/>
    </row>
    <row r="32" spans="2:7" ht="88.5" customHeight="1" x14ac:dyDescent="0.2">
      <c r="B32" s="110" t="s">
        <v>62</v>
      </c>
      <c r="C32" s="204" t="s">
        <v>215</v>
      </c>
      <c r="D32" s="204"/>
      <c r="E32" s="204"/>
      <c r="F32" s="204"/>
      <c r="G32" s="204"/>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xr:uid="{00000000-0002-0000-0C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6" t="s">
        <v>216</v>
      </c>
      <c r="C2" s="166"/>
      <c r="D2" s="166"/>
      <c r="E2" s="166"/>
      <c r="F2" s="166"/>
      <c r="G2" s="166"/>
    </row>
    <row r="3" spans="2:7" ht="125.25" customHeight="1" x14ac:dyDescent="0.2">
      <c r="B3" s="167" t="s">
        <v>217</v>
      </c>
      <c r="C3" s="167"/>
      <c r="D3" s="167"/>
      <c r="E3" s="167"/>
      <c r="F3" s="167"/>
      <c r="G3" s="167"/>
    </row>
    <row r="4" spans="2:7" ht="13.5" customHeight="1" x14ac:dyDescent="0.2">
      <c r="B4" s="86"/>
      <c r="C4" s="87"/>
      <c r="D4" s="168"/>
      <c r="E4" s="169"/>
      <c r="F4" s="169"/>
      <c r="G4" s="170"/>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1" t="s">
        <v>69</v>
      </c>
      <c r="C25" s="172"/>
      <c r="D25" s="172"/>
      <c r="E25" s="172"/>
      <c r="F25" s="172"/>
      <c r="G25" s="173"/>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1" t="s">
        <v>70</v>
      </c>
      <c r="C28" s="172"/>
      <c r="D28" s="172"/>
      <c r="E28" s="172"/>
      <c r="F28" s="172"/>
      <c r="G28" s="173"/>
    </row>
    <row r="29" spans="2:7" ht="14.25" x14ac:dyDescent="0.2">
      <c r="B29" s="80" t="s">
        <v>67</v>
      </c>
      <c r="C29" s="80" t="s">
        <v>14</v>
      </c>
      <c r="D29" s="80" t="s">
        <v>66</v>
      </c>
      <c r="E29" s="174" t="s">
        <v>97</v>
      </c>
      <c r="F29" s="175"/>
      <c r="G29" s="80" t="s">
        <v>16</v>
      </c>
    </row>
    <row r="30" spans="2:7" x14ac:dyDescent="0.2">
      <c r="B30" s="56"/>
      <c r="C30" s="56"/>
      <c r="D30" s="107"/>
      <c r="E30" s="205"/>
      <c r="F30" s="164"/>
      <c r="G30" s="108"/>
    </row>
    <row r="31" spans="2:7" x14ac:dyDescent="0.2">
      <c r="B31" s="109"/>
      <c r="C31" s="56"/>
      <c r="D31" s="107"/>
      <c r="E31" s="206"/>
      <c r="F31" s="207"/>
      <c r="G31" s="108"/>
    </row>
    <row r="32" spans="2:7" x14ac:dyDescent="0.2">
      <c r="B32" s="56"/>
      <c r="C32" s="56"/>
      <c r="D32" s="56"/>
      <c r="E32" s="163"/>
      <c r="F32" s="164"/>
      <c r="G32" s="56"/>
    </row>
    <row r="33" spans="2:7" ht="88.5" customHeight="1" x14ac:dyDescent="0.2">
      <c r="B33" s="110" t="s">
        <v>62</v>
      </c>
      <c r="C33" s="204" t="s">
        <v>215</v>
      </c>
      <c r="D33" s="204"/>
      <c r="E33" s="204"/>
      <c r="F33" s="204"/>
      <c r="G33" s="204"/>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xr:uid="{00000000-0002-0000-0D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6" t="s">
        <v>207</v>
      </c>
      <c r="C2" s="166"/>
      <c r="D2" s="166"/>
      <c r="E2" s="166"/>
      <c r="F2" s="166"/>
      <c r="G2" s="166"/>
    </row>
    <row r="3" spans="2:7" ht="125.25" customHeight="1" x14ac:dyDescent="0.2">
      <c r="B3" s="167" t="s">
        <v>206</v>
      </c>
      <c r="C3" s="167"/>
      <c r="D3" s="167"/>
      <c r="E3" s="167"/>
      <c r="F3" s="167"/>
      <c r="G3" s="167"/>
    </row>
    <row r="4" spans="2:7" ht="13.5" customHeight="1" x14ac:dyDescent="0.2">
      <c r="B4" s="86"/>
      <c r="C4" s="87"/>
      <c r="D4" s="168"/>
      <c r="E4" s="169"/>
      <c r="F4" s="169"/>
      <c r="G4" s="170"/>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1" t="s">
        <v>69</v>
      </c>
      <c r="C24" s="172"/>
      <c r="D24" s="172"/>
      <c r="E24" s="172"/>
      <c r="F24" s="172"/>
      <c r="G24" s="173"/>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1" t="s">
        <v>70</v>
      </c>
      <c r="C27" s="172"/>
      <c r="D27" s="172"/>
      <c r="E27" s="172"/>
      <c r="F27" s="172"/>
      <c r="G27" s="173"/>
    </row>
    <row r="28" spans="2:7" ht="14.25" x14ac:dyDescent="0.2">
      <c r="B28" s="80" t="s">
        <v>67</v>
      </c>
      <c r="C28" s="80" t="s">
        <v>14</v>
      </c>
      <c r="D28" s="80" t="s">
        <v>66</v>
      </c>
      <c r="E28" s="174" t="s">
        <v>97</v>
      </c>
      <c r="F28" s="175"/>
      <c r="G28" s="80" t="s">
        <v>16</v>
      </c>
    </row>
    <row r="29" spans="2:7" x14ac:dyDescent="0.2">
      <c r="B29" s="56"/>
      <c r="C29" s="56"/>
      <c r="D29" s="107"/>
      <c r="E29" s="205"/>
      <c r="F29" s="164"/>
      <c r="G29" s="108"/>
    </row>
    <row r="30" spans="2:7" x14ac:dyDescent="0.2">
      <c r="B30" s="109"/>
      <c r="C30" s="56"/>
      <c r="D30" s="107"/>
      <c r="E30" s="206"/>
      <c r="F30" s="207"/>
      <c r="G30" s="108"/>
    </row>
    <row r="31" spans="2:7" x14ac:dyDescent="0.2">
      <c r="B31" s="56"/>
      <c r="C31" s="56"/>
      <c r="D31" s="56"/>
      <c r="E31" s="163"/>
      <c r="F31" s="164"/>
      <c r="G31" s="56"/>
    </row>
    <row r="32" spans="2:7" ht="88.5" customHeight="1" x14ac:dyDescent="0.2">
      <c r="B32" s="110" t="s">
        <v>62</v>
      </c>
      <c r="C32" s="204" t="s">
        <v>215</v>
      </c>
      <c r="D32" s="204"/>
      <c r="E32" s="204"/>
      <c r="F32" s="204"/>
      <c r="G32" s="204"/>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xr:uid="{00000000-0002-0000-0E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6" t="s">
        <v>196</v>
      </c>
      <c r="C2" s="166"/>
      <c r="D2" s="166"/>
      <c r="E2" s="166"/>
      <c r="F2" s="166"/>
      <c r="G2" s="166"/>
    </row>
    <row r="3" spans="2:7" ht="125.25" customHeight="1" x14ac:dyDescent="0.2">
      <c r="B3" s="167" t="s">
        <v>197</v>
      </c>
      <c r="C3" s="167"/>
      <c r="D3" s="167"/>
      <c r="E3" s="167"/>
      <c r="F3" s="167"/>
      <c r="G3" s="167"/>
    </row>
    <row r="4" spans="2:7" ht="13.5" customHeight="1" x14ac:dyDescent="0.2">
      <c r="B4" s="86"/>
      <c r="C4" s="87"/>
      <c r="D4" s="168"/>
      <c r="E4" s="169"/>
      <c r="F4" s="169"/>
      <c r="G4" s="170"/>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71" t="s">
        <v>69</v>
      </c>
      <c r="C23" s="172"/>
      <c r="D23" s="172"/>
      <c r="E23" s="172"/>
      <c r="F23" s="172"/>
      <c r="G23" s="173"/>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71" t="s">
        <v>70</v>
      </c>
      <c r="C26" s="172"/>
      <c r="D26" s="172"/>
      <c r="E26" s="172"/>
      <c r="F26" s="172"/>
      <c r="G26" s="173"/>
    </row>
    <row r="27" spans="2:7" ht="14.25" x14ac:dyDescent="0.2">
      <c r="B27" s="80" t="s">
        <v>67</v>
      </c>
      <c r="C27" s="80" t="s">
        <v>14</v>
      </c>
      <c r="D27" s="80" t="s">
        <v>66</v>
      </c>
      <c r="E27" s="174" t="s">
        <v>97</v>
      </c>
      <c r="F27" s="175"/>
      <c r="G27" s="80" t="s">
        <v>16</v>
      </c>
    </row>
    <row r="28" spans="2:7" x14ac:dyDescent="0.2">
      <c r="B28" s="56"/>
      <c r="C28" s="56"/>
      <c r="D28" s="107"/>
      <c r="E28" s="205"/>
      <c r="F28" s="164"/>
      <c r="G28" s="108"/>
    </row>
    <row r="29" spans="2:7" x14ac:dyDescent="0.2">
      <c r="B29" s="109"/>
      <c r="C29" s="56"/>
      <c r="D29" s="107"/>
      <c r="E29" s="206"/>
      <c r="F29" s="207"/>
      <c r="G29" s="108"/>
    </row>
    <row r="30" spans="2:7" x14ac:dyDescent="0.2">
      <c r="B30" s="56"/>
      <c r="C30" s="56"/>
      <c r="D30" s="56"/>
      <c r="E30" s="163"/>
      <c r="F30" s="164"/>
      <c r="G30" s="56"/>
    </row>
    <row r="31" spans="2:7" ht="88.5" customHeight="1" x14ac:dyDescent="0.2">
      <c r="B31" s="110" t="s">
        <v>62</v>
      </c>
      <c r="C31" s="204" t="s">
        <v>155</v>
      </c>
      <c r="D31" s="204"/>
      <c r="E31" s="204"/>
      <c r="F31" s="204"/>
      <c r="G31" s="204"/>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xr:uid="{00000000-0002-0000-0F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6" t="s">
        <v>183</v>
      </c>
      <c r="C2" s="166"/>
      <c r="D2" s="166"/>
      <c r="E2" s="166"/>
      <c r="F2" s="166"/>
      <c r="G2" s="166"/>
    </row>
    <row r="3" spans="2:7" ht="125.25" customHeight="1" x14ac:dyDescent="0.2">
      <c r="B3" s="167" t="s">
        <v>194</v>
      </c>
      <c r="C3" s="167"/>
      <c r="D3" s="167"/>
      <c r="E3" s="167"/>
      <c r="F3" s="167"/>
      <c r="G3" s="167"/>
    </row>
    <row r="4" spans="2:7" ht="13.5" customHeight="1" x14ac:dyDescent="0.2">
      <c r="B4" s="86"/>
      <c r="C4" s="87"/>
      <c r="D4" s="168"/>
      <c r="E4" s="169"/>
      <c r="F4" s="169"/>
      <c r="G4" s="170"/>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1" t="s">
        <v>150</v>
      </c>
      <c r="C21" s="172"/>
      <c r="D21" s="172"/>
      <c r="E21" s="172"/>
      <c r="F21" s="172"/>
      <c r="G21" s="173"/>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1" t="s">
        <v>70</v>
      </c>
      <c r="C24" s="172"/>
      <c r="D24" s="172"/>
      <c r="E24" s="172"/>
      <c r="F24" s="172"/>
      <c r="G24" s="173"/>
    </row>
    <row r="25" spans="2:7" ht="14.25" x14ac:dyDescent="0.2">
      <c r="B25" s="80" t="s">
        <v>67</v>
      </c>
      <c r="C25" s="80" t="s">
        <v>14</v>
      </c>
      <c r="D25" s="80" t="s">
        <v>66</v>
      </c>
      <c r="E25" s="174" t="s">
        <v>97</v>
      </c>
      <c r="F25" s="175"/>
      <c r="G25" s="80" t="s">
        <v>16</v>
      </c>
    </row>
    <row r="26" spans="2:7" x14ac:dyDescent="0.2">
      <c r="B26" s="56" t="s">
        <v>184</v>
      </c>
      <c r="C26" s="56" t="s">
        <v>185</v>
      </c>
      <c r="D26" s="107">
        <v>42908</v>
      </c>
      <c r="E26" s="205" t="s">
        <v>186</v>
      </c>
      <c r="F26" s="164"/>
      <c r="G26" s="108"/>
    </row>
    <row r="27" spans="2:7" x14ac:dyDescent="0.2">
      <c r="B27" s="109" t="s">
        <v>187</v>
      </c>
      <c r="C27" s="56" t="s">
        <v>188</v>
      </c>
      <c r="D27" s="107">
        <v>42908</v>
      </c>
      <c r="E27" s="206" t="s">
        <v>189</v>
      </c>
      <c r="F27" s="207"/>
      <c r="G27" s="108"/>
    </row>
    <row r="28" spans="2:7" x14ac:dyDescent="0.2">
      <c r="B28" s="56"/>
      <c r="C28" s="56"/>
      <c r="D28" s="56"/>
      <c r="E28" s="163"/>
      <c r="F28" s="164"/>
      <c r="G28" s="56"/>
    </row>
    <row r="29" spans="2:7" ht="88.5" customHeight="1" x14ac:dyDescent="0.2">
      <c r="B29" s="110" t="s">
        <v>62</v>
      </c>
      <c r="C29" s="204" t="s">
        <v>155</v>
      </c>
      <c r="D29" s="204"/>
      <c r="E29" s="204"/>
      <c r="F29" s="204"/>
      <c r="G29" s="204"/>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xr:uid="{00000000-0002-0000-10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08" t="s">
        <v>123</v>
      </c>
      <c r="C2" s="209"/>
      <c r="D2" s="209"/>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210" t="s">
        <v>142</v>
      </c>
      <c r="C10" s="209"/>
      <c r="D10" s="209"/>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200" t="s">
        <v>145</v>
      </c>
      <c r="D21" s="201"/>
      <c r="E21" s="201"/>
      <c r="F21" s="201"/>
      <c r="G21" s="201"/>
      <c r="H21" s="201"/>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211" t="s">
        <v>139</v>
      </c>
      <c r="B1" s="212"/>
      <c r="C1" s="212"/>
      <c r="D1" s="212"/>
      <c r="E1" s="212"/>
      <c r="F1" s="212"/>
      <c r="G1" s="212"/>
      <c r="H1" s="212"/>
      <c r="I1" s="212"/>
      <c r="J1" s="212"/>
      <c r="K1" s="212"/>
      <c r="L1" s="212"/>
      <c r="M1" s="212"/>
      <c r="N1" s="212"/>
      <c r="O1" s="212"/>
    </row>
    <row r="2" spans="1:15" s="67" customFormat="1" ht="18" customHeight="1" x14ac:dyDescent="0.2">
      <c r="A2" s="215" t="s">
        <v>138</v>
      </c>
      <c r="B2" s="216"/>
      <c r="C2" s="216"/>
      <c r="D2" s="216"/>
      <c r="E2" s="216"/>
      <c r="F2" s="216"/>
      <c r="G2" s="216"/>
      <c r="H2" s="216"/>
      <c r="I2" s="216"/>
      <c r="J2" s="216"/>
      <c r="K2" s="216"/>
      <c r="L2" s="216"/>
      <c r="M2" s="216"/>
      <c r="N2" s="216"/>
      <c r="O2" s="216"/>
    </row>
    <row r="36" spans="1:15" ht="10.5" customHeight="1" x14ac:dyDescent="0.2"/>
    <row r="38" spans="1:15" s="66" customFormat="1" ht="18" customHeight="1" x14ac:dyDescent="0.2">
      <c r="A38" s="215" t="s">
        <v>140</v>
      </c>
      <c r="B38" s="216"/>
      <c r="C38" s="216"/>
      <c r="D38" s="216"/>
      <c r="E38" s="216"/>
      <c r="F38" s="216"/>
      <c r="G38" s="216"/>
      <c r="H38" s="216"/>
      <c r="I38" s="216"/>
      <c r="J38" s="216"/>
      <c r="K38" s="216"/>
      <c r="L38" s="216"/>
      <c r="M38" s="216"/>
      <c r="N38" s="216"/>
      <c r="O38" s="216"/>
    </row>
    <row r="72" spans="1:15" s="52" customFormat="1" ht="27" customHeight="1" x14ac:dyDescent="0.2">
      <c r="A72" s="213" t="s">
        <v>90</v>
      </c>
      <c r="B72" s="212"/>
      <c r="C72" s="212"/>
      <c r="D72" s="212"/>
      <c r="E72" s="212"/>
      <c r="F72" s="212"/>
      <c r="G72" s="212"/>
      <c r="H72" s="212"/>
      <c r="I72" s="212"/>
      <c r="J72" s="212"/>
      <c r="K72" s="212"/>
      <c r="L72" s="212"/>
      <c r="M72" s="212"/>
      <c r="N72" s="212"/>
      <c r="O72" s="212"/>
    </row>
    <row r="73" spans="1:15" ht="58.5" customHeight="1" x14ac:dyDescent="0.2">
      <c r="A73" s="214" t="s">
        <v>91</v>
      </c>
      <c r="B73" s="212"/>
      <c r="C73" s="212"/>
      <c r="D73" s="212"/>
      <c r="E73" s="212"/>
      <c r="F73" s="212"/>
      <c r="G73" s="212"/>
      <c r="H73" s="212"/>
      <c r="I73" s="212"/>
      <c r="J73" s="212"/>
      <c r="K73" s="212"/>
      <c r="L73" s="212"/>
      <c r="M73" s="212"/>
      <c r="N73" s="212"/>
      <c r="O73" s="212"/>
    </row>
    <row r="89" spans="1:15" x14ac:dyDescent="0.2">
      <c r="A89" s="10"/>
      <c r="B89" s="10"/>
      <c r="C89" s="10"/>
      <c r="D89" s="10"/>
      <c r="E89" s="10"/>
      <c r="F89" s="10"/>
      <c r="G89" s="10"/>
      <c r="H89" s="10"/>
      <c r="I89" s="10"/>
      <c r="J89" s="10"/>
      <c r="K89" s="10"/>
      <c r="L89" s="10"/>
      <c r="M89" s="10"/>
      <c r="N89" s="10"/>
    </row>
    <row r="94" spans="1:15" ht="48.75" customHeight="1" x14ac:dyDescent="0.2">
      <c r="A94" s="214" t="s">
        <v>92</v>
      </c>
      <c r="B94" s="212"/>
      <c r="C94" s="212"/>
      <c r="D94" s="212"/>
      <c r="E94" s="212"/>
      <c r="F94" s="212"/>
      <c r="G94" s="212"/>
      <c r="H94" s="212"/>
      <c r="I94" s="212"/>
      <c r="J94" s="212"/>
      <c r="K94" s="212"/>
      <c r="L94" s="212"/>
      <c r="M94" s="212"/>
      <c r="N94" s="212"/>
      <c r="O94" s="212"/>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F1"/>
  <sheetViews>
    <sheetView workbookViewId="0"/>
  </sheetViews>
  <sheetFormatPr defaultRowHeight="12.75" x14ac:dyDescent="0.2"/>
  <cols>
    <col min="1" max="1" width="35.5703125" customWidth="1"/>
  </cols>
  <sheetData>
    <row r="1" spans="1:6" ht="156.75" x14ac:dyDescent="0.2">
      <c r="A1" s="150" t="s">
        <v>306</v>
      </c>
      <c r="B1" s="151"/>
      <c r="C1" s="151"/>
      <c r="D1" s="151"/>
      <c r="E1" s="151"/>
      <c r="F1" s="151"/>
    </row>
  </sheetData>
  <sheetProtection sheet="1" objects="1" scenarios="1"/>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08" t="s">
        <v>123</v>
      </c>
      <c r="C2" s="209"/>
      <c r="D2" s="209"/>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208" t="s">
        <v>127</v>
      </c>
      <c r="C10" s="209"/>
      <c r="D10" s="209"/>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200" t="s">
        <v>144</v>
      </c>
      <c r="D21" s="201"/>
      <c r="E21" s="201"/>
      <c r="F21" s="201"/>
      <c r="G21" s="201"/>
      <c r="H21" s="201"/>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22</vt:i4>
      </vt:variant>
      <vt:variant>
        <vt:lpstr>命名范围</vt:lpstr>
      </vt:variant>
      <vt:variant>
        <vt:i4>2</vt:i4>
      </vt:variant>
    </vt:vector>
  </HeadingPairs>
  <TitlesOfParts>
    <vt:vector size="24" baseType="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版本冻结公告-v1.29.0</vt:lpstr>
      <vt:lpstr>版本冻结公告-v1.28.0</vt:lpstr>
      <vt:lpstr>v1.27.0版本冻结公告</vt:lpstr>
      <vt:lpstr>v1.24.0版本冻结公告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lpstr>版本名称1</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2018-12-21T04:37:42Z</dcterms:modified>
</cp:coreProperties>
</file>